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defaultThemeVersion="124226"/>
  <xr:revisionPtr revIDLastSave="0" documentId="13_ncr:1_{938F6B90-D815-411D-89ED-E81068B48B7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dos - Orçamento" sheetId="5" r:id="rId1"/>
    <sheet name="Dados - Mercado" sheetId="8" r:id="rId2"/>
    <sheet name="Dados - RH" sheetId="7" r:id="rId3"/>
  </sheets>
  <definedNames>
    <definedName name="_xlnm._FilterDatabase" localSheetId="1" hidden="1">'Dados - Mercado'!$A$1:$AF$1</definedName>
    <definedName name="_xlnm._FilterDatabase" localSheetId="0" hidden="1">'Dados - Orçamento'!$A$1:$L$442</definedName>
    <definedName name="_xlnm._FilterDatabase" localSheetId="2" hidden="1">'Dados - RH'!$A$1:$S$1</definedName>
  </definedNames>
  <calcPr calcId="191029"/>
</workbook>
</file>

<file path=xl/calcChain.xml><?xml version="1.0" encoding="utf-8"?>
<calcChain xmlns="http://schemas.openxmlformats.org/spreadsheetml/2006/main">
  <c r="AE192" i="8" l="1"/>
  <c r="AE193" i="8"/>
  <c r="AE98" i="8"/>
  <c r="AE99" i="8"/>
  <c r="AE100" i="8"/>
  <c r="AE101" i="8"/>
  <c r="AE102" i="8"/>
  <c r="AE103" i="8"/>
  <c r="AE2" i="8"/>
  <c r="AE3" i="8"/>
  <c r="AE4" i="8"/>
  <c r="AE5" i="8"/>
  <c r="AE6" i="8"/>
  <c r="AE7" i="8"/>
  <c r="AE8" i="8"/>
  <c r="AE9" i="8"/>
  <c r="AE194" i="8"/>
  <c r="AE195" i="8"/>
  <c r="AE196" i="8"/>
  <c r="AE197" i="8"/>
  <c r="AE104" i="8"/>
  <c r="AE105" i="8"/>
  <c r="AE106" i="8"/>
  <c r="AE107" i="8"/>
  <c r="AE108" i="8"/>
  <c r="AE109" i="8"/>
  <c r="AE10" i="8"/>
  <c r="AE11" i="8"/>
  <c r="AE12" i="8"/>
  <c r="AE13" i="8"/>
  <c r="AE14" i="8"/>
  <c r="AE15" i="8"/>
  <c r="AE16" i="8"/>
  <c r="AE17" i="8"/>
  <c r="AE18" i="8"/>
  <c r="AE19" i="8"/>
  <c r="AE198" i="8"/>
  <c r="AE199" i="8"/>
  <c r="AE200" i="8"/>
  <c r="AE201" i="8"/>
  <c r="AE110" i="8"/>
  <c r="AE111" i="8"/>
  <c r="AE112" i="8"/>
  <c r="AE113" i="8"/>
  <c r="AE114" i="8"/>
  <c r="AE115" i="8"/>
  <c r="AE116" i="8"/>
  <c r="AE20" i="8"/>
  <c r="AE21" i="8"/>
  <c r="AE22" i="8"/>
  <c r="AE23" i="8"/>
  <c r="AE24" i="8"/>
  <c r="AE25" i="8"/>
  <c r="AE202" i="8"/>
  <c r="AE203" i="8"/>
  <c r="AE204" i="8"/>
  <c r="AE205" i="8"/>
  <c r="AE117" i="8"/>
  <c r="AE118" i="8"/>
  <c r="AE119" i="8"/>
  <c r="AE120" i="8"/>
  <c r="AE121" i="8"/>
  <c r="AE122" i="8"/>
  <c r="AE123" i="8"/>
  <c r="AE26" i="8"/>
  <c r="AE27" i="8"/>
  <c r="AE28" i="8"/>
  <c r="AE29" i="8"/>
  <c r="AE30" i="8"/>
  <c r="AE31" i="8"/>
  <c r="AE206" i="8"/>
  <c r="AE207" i="8"/>
  <c r="AE208" i="8"/>
  <c r="AE209" i="8"/>
  <c r="AE124" i="8"/>
  <c r="AE125" i="8"/>
  <c r="AE126" i="8"/>
  <c r="AE127" i="8"/>
  <c r="AE128" i="8"/>
  <c r="AE129" i="8"/>
  <c r="AE130" i="8"/>
  <c r="AE32" i="8"/>
  <c r="AE33" i="8"/>
  <c r="AE34" i="8"/>
  <c r="AE35" i="8"/>
  <c r="AE36" i="8"/>
  <c r="AE37" i="8"/>
  <c r="AE210" i="8"/>
  <c r="AE211" i="8"/>
  <c r="AE131" i="8"/>
  <c r="AE132" i="8"/>
  <c r="AE133" i="8"/>
  <c r="AE134" i="8"/>
  <c r="AE135" i="8"/>
  <c r="AE136" i="8"/>
  <c r="AE38" i="8"/>
  <c r="AE39" i="8"/>
  <c r="AE40" i="8"/>
  <c r="AE41" i="8"/>
  <c r="AE42" i="8"/>
  <c r="AE43" i="8"/>
  <c r="AE44" i="8"/>
  <c r="AE45" i="8"/>
  <c r="AE212" i="8"/>
  <c r="AE213" i="8"/>
  <c r="AE214" i="8"/>
  <c r="AE215" i="8"/>
  <c r="AE137" i="8"/>
  <c r="AE138" i="8"/>
  <c r="AE139" i="8"/>
  <c r="AE140" i="8"/>
  <c r="AE141" i="8"/>
  <c r="AE142" i="8"/>
  <c r="AE46" i="8"/>
  <c r="AE47" i="8"/>
  <c r="AE48" i="8"/>
  <c r="AE49" i="8"/>
  <c r="AE50" i="8"/>
  <c r="AE51" i="8"/>
  <c r="AE52" i="8"/>
  <c r="AE53" i="8"/>
  <c r="AE54" i="8"/>
  <c r="AE55" i="8"/>
  <c r="AE216" i="8"/>
  <c r="AE217" i="8"/>
  <c r="AE218" i="8"/>
  <c r="AE219" i="8"/>
  <c r="AE143" i="8"/>
  <c r="AE144" i="8"/>
  <c r="AE145" i="8"/>
  <c r="AE146" i="8"/>
  <c r="AE147" i="8"/>
  <c r="AE148" i="8"/>
  <c r="AE149" i="8"/>
  <c r="AE56" i="8"/>
  <c r="AE57" i="8"/>
  <c r="AE58" i="8"/>
  <c r="AE59" i="8"/>
  <c r="AE60" i="8"/>
  <c r="AE61" i="8"/>
  <c r="AE220" i="8"/>
  <c r="AE221" i="8"/>
  <c r="AE222" i="8"/>
  <c r="AE223" i="8"/>
  <c r="AE150" i="8"/>
  <c r="AE151" i="8"/>
  <c r="AE152" i="8"/>
  <c r="AE153" i="8"/>
  <c r="AE154" i="8"/>
  <c r="AE155" i="8"/>
  <c r="AE156" i="8"/>
  <c r="AE62" i="8"/>
  <c r="AE63" i="8"/>
  <c r="AE64" i="8"/>
  <c r="AE65" i="8"/>
  <c r="AE66" i="8"/>
  <c r="AE67" i="8"/>
  <c r="AE224" i="8"/>
  <c r="AE225" i="8"/>
  <c r="AE226" i="8"/>
  <c r="AE227" i="8"/>
  <c r="AE157" i="8"/>
  <c r="AE158" i="8"/>
  <c r="AE159" i="8"/>
  <c r="AE160" i="8"/>
  <c r="AE161" i="8"/>
  <c r="AE162" i="8"/>
  <c r="AE163" i="8"/>
  <c r="AE68" i="8"/>
  <c r="AE69" i="8"/>
  <c r="AE70" i="8"/>
  <c r="AE71" i="8"/>
  <c r="AE72" i="8"/>
  <c r="AE73" i="8"/>
  <c r="AE228" i="8"/>
  <c r="AE229" i="8"/>
  <c r="AE230" i="8"/>
  <c r="AE231" i="8"/>
  <c r="AE164" i="8"/>
  <c r="AE165" i="8"/>
  <c r="AE166" i="8"/>
  <c r="AE167" i="8"/>
  <c r="AE168" i="8"/>
  <c r="AE169" i="8"/>
  <c r="AE170" i="8"/>
  <c r="AE74" i="8"/>
  <c r="AE75" i="8"/>
  <c r="AE76" i="8"/>
  <c r="AE77" i="8"/>
  <c r="AE78" i="8"/>
  <c r="AE79" i="8"/>
  <c r="AE232" i="8"/>
  <c r="AE233" i="8"/>
  <c r="AE234" i="8"/>
  <c r="AE235" i="8"/>
  <c r="AE171" i="8"/>
  <c r="AE172" i="8"/>
  <c r="AE173" i="8"/>
  <c r="AE174" i="8"/>
  <c r="AE175" i="8"/>
  <c r="AE176" i="8"/>
  <c r="AE177" i="8"/>
  <c r="AE80" i="8"/>
  <c r="AE81" i="8"/>
  <c r="AE82" i="8"/>
  <c r="AE83" i="8"/>
  <c r="AE84" i="8"/>
  <c r="AE85" i="8"/>
  <c r="AE236" i="8"/>
  <c r="AE237" i="8"/>
  <c r="AE238" i="8"/>
  <c r="AE239" i="8"/>
  <c r="AE178" i="8"/>
  <c r="AE179" i="8"/>
  <c r="AE180" i="8"/>
  <c r="AE181" i="8"/>
  <c r="AE182" i="8"/>
  <c r="AE183" i="8"/>
  <c r="AE184" i="8"/>
  <c r="AE86" i="8"/>
  <c r="AE87" i="8"/>
  <c r="AE88" i="8"/>
  <c r="AE89" i="8"/>
  <c r="AE90" i="8"/>
  <c r="AE91" i="8"/>
  <c r="AE240" i="8"/>
  <c r="AE241" i="8"/>
  <c r="AE242" i="8"/>
  <c r="AE243" i="8"/>
  <c r="AE185" i="8"/>
  <c r="AE186" i="8"/>
  <c r="AE187" i="8"/>
  <c r="AE188" i="8"/>
  <c r="AE189" i="8"/>
  <c r="AE190" i="8"/>
  <c r="AE191" i="8"/>
  <c r="AE92" i="8"/>
  <c r="AE93" i="8"/>
  <c r="AE94" i="8"/>
  <c r="AE95" i="8"/>
  <c r="AE96" i="8"/>
  <c r="AE97" i="8"/>
  <c r="O56" i="8"/>
  <c r="O146" i="8"/>
  <c r="O219" i="8"/>
  <c r="O53" i="8"/>
  <c r="O49" i="8"/>
  <c r="O142" i="8"/>
  <c r="O137" i="8"/>
  <c r="O213" i="8"/>
  <c r="O42" i="8"/>
  <c r="O136" i="8"/>
  <c r="O133" i="8"/>
  <c r="O210" i="8"/>
  <c r="O60" i="8"/>
  <c r="O138" i="8"/>
  <c r="O38" i="8"/>
  <c r="O61" i="8"/>
  <c r="O59" i="8"/>
  <c r="O58" i="8"/>
  <c r="O57" i="8"/>
  <c r="O149" i="8"/>
  <c r="O148" i="8"/>
  <c r="O147" i="8"/>
  <c r="O145" i="8"/>
  <c r="O144" i="8"/>
  <c r="O143" i="8"/>
  <c r="O218" i="8"/>
  <c r="O217" i="8"/>
  <c r="O216" i="8"/>
  <c r="O55" i="8"/>
  <c r="O54" i="8"/>
  <c r="O52" i="8"/>
  <c r="O51" i="8"/>
  <c r="O50" i="8"/>
  <c r="O48" i="8"/>
  <c r="O47" i="8"/>
  <c r="O46" i="8"/>
  <c r="O141" i="8"/>
  <c r="O140" i="8"/>
  <c r="O139" i="8"/>
  <c r="O215" i="8"/>
  <c r="O214" i="8"/>
  <c r="O212" i="8"/>
  <c r="O45" i="8"/>
  <c r="O44" i="8"/>
  <c r="O43" i="8"/>
  <c r="O41" i="8"/>
  <c r="O40" i="8"/>
  <c r="O39" i="8"/>
  <c r="O135" i="8"/>
  <c r="O134" i="8"/>
  <c r="O132" i="8"/>
  <c r="O131" i="8"/>
  <c r="O211" i="8"/>
  <c r="O25" i="8" l="1"/>
  <c r="O24" i="8"/>
  <c r="O23" i="8"/>
  <c r="O22" i="8"/>
  <c r="O21" i="8"/>
  <c r="O20" i="8"/>
  <c r="O19" i="8"/>
  <c r="O18" i="8"/>
  <c r="O17" i="8"/>
  <c r="O16" i="8"/>
  <c r="O15" i="8"/>
  <c r="O14" i="8"/>
  <c r="O13" i="8"/>
  <c r="O12" i="8"/>
  <c r="O11" i="8"/>
  <c r="O10" i="8"/>
  <c r="O9" i="8"/>
  <c r="O8" i="8"/>
  <c r="O7" i="8"/>
  <c r="O6" i="8"/>
  <c r="O5" i="8"/>
  <c r="O4" i="8"/>
  <c r="O3" i="8"/>
  <c r="O2" i="8"/>
  <c r="O116" i="8"/>
  <c r="O115" i="8"/>
  <c r="O114" i="8"/>
  <c r="O113" i="8"/>
  <c r="O112" i="8"/>
  <c r="O111" i="8"/>
  <c r="O110" i="8"/>
  <c r="O109" i="8"/>
  <c r="O108" i="8"/>
  <c r="O107" i="8"/>
  <c r="O106" i="8"/>
  <c r="O105" i="8"/>
  <c r="O104" i="8"/>
  <c r="O103" i="8"/>
  <c r="O102" i="8"/>
  <c r="O101" i="8"/>
  <c r="O100" i="8"/>
  <c r="O99" i="8"/>
  <c r="O98" i="8"/>
  <c r="O201" i="8"/>
  <c r="O200" i="8"/>
  <c r="O199" i="8"/>
  <c r="O198" i="8"/>
  <c r="O197" i="8"/>
  <c r="O196" i="8"/>
  <c r="O195" i="8"/>
  <c r="O194" i="8"/>
  <c r="O193" i="8"/>
  <c r="O192" i="8"/>
</calcChain>
</file>

<file path=xl/sharedStrings.xml><?xml version="1.0" encoding="utf-8"?>
<sst xmlns="http://schemas.openxmlformats.org/spreadsheetml/2006/main" count="7126" uniqueCount="270">
  <si>
    <t>Centro de Responsabilidade</t>
  </si>
  <si>
    <t>Despesas Correntes</t>
  </si>
  <si>
    <t>-</t>
  </si>
  <si>
    <t>Despesas de Capital</t>
  </si>
  <si>
    <t>Receitas Correntes</t>
  </si>
  <si>
    <t>Despesa</t>
  </si>
  <si>
    <t>Pessoal e Encargos</t>
  </si>
  <si>
    <t>Material de Consumo</t>
  </si>
  <si>
    <t>Investimentos</t>
  </si>
  <si>
    <t>Ocupação e Utilidades</t>
  </si>
  <si>
    <t>Transportes e Viagens</t>
  </si>
  <si>
    <t>Serviços de terceiros</t>
  </si>
  <si>
    <t>Impostos e taxas</t>
  </si>
  <si>
    <t>Receitas de serviços</t>
  </si>
  <si>
    <t>Outras receitas</t>
  </si>
  <si>
    <t>Nome conta 1º nível</t>
  </si>
  <si>
    <t>Cod centro</t>
  </si>
  <si>
    <t>Mês</t>
  </si>
  <si>
    <t>Outras despesas</t>
  </si>
  <si>
    <t>Nome conta 2º nível</t>
  </si>
  <si>
    <t>Receita</t>
  </si>
  <si>
    <t>Nome conta 3º nível</t>
  </si>
  <si>
    <t>Colaborador</t>
  </si>
  <si>
    <t>Curso</t>
  </si>
  <si>
    <t>Matrícula</t>
  </si>
  <si>
    <t>Deodoro da Fonseca</t>
  </si>
  <si>
    <t>Floriano Peixoto</t>
  </si>
  <si>
    <t>Campos Sales</t>
  </si>
  <si>
    <t>Rodrigues Alves</t>
  </si>
  <si>
    <t>Afonso Pena</t>
  </si>
  <si>
    <t>Nilo Peçanha</t>
  </si>
  <si>
    <t>Hermes da Fonseca</t>
  </si>
  <si>
    <t>Venceslau Brás</t>
  </si>
  <si>
    <t>Delfim Moreira</t>
  </si>
  <si>
    <t>Epitácio Pessoa</t>
  </si>
  <si>
    <t>Artur Bernardes</t>
  </si>
  <si>
    <t>Washington Luís</t>
  </si>
  <si>
    <t>Júlio Prestes</t>
  </si>
  <si>
    <t>Augusto Tasso Fragoso</t>
  </si>
  <si>
    <t>Getúlio Vargas</t>
  </si>
  <si>
    <t>José Linhares</t>
  </si>
  <si>
    <t>Eurico Gaspar Dutra</t>
  </si>
  <si>
    <t>Café Filho</t>
  </si>
  <si>
    <t>Carlos Luz</t>
  </si>
  <si>
    <t>Nereu Ramos</t>
  </si>
  <si>
    <t>Juscelino Kubitschek</t>
  </si>
  <si>
    <t>Jânio Quadros</t>
  </si>
  <si>
    <t>Ranieri Mazzilli</t>
  </si>
  <si>
    <t>João Goulart</t>
  </si>
  <si>
    <t>Humberto Castelo Branco</t>
  </si>
  <si>
    <t>Artur da Costa e Silva</t>
  </si>
  <si>
    <t>Pedro Aleixo</t>
  </si>
  <si>
    <t>Aurélio de Lira Tavares</t>
  </si>
  <si>
    <t>Emílio Garrastazu Médici</t>
  </si>
  <si>
    <t>Ernesto Geisel</t>
  </si>
  <si>
    <t>João Figueiredo</t>
  </si>
  <si>
    <t>Tancredo Neves</t>
  </si>
  <si>
    <t>José Sarney</t>
  </si>
  <si>
    <t>Fernando Collor</t>
  </si>
  <si>
    <t>Itamar Franco</t>
  </si>
  <si>
    <t>Fernando Henrique Cardoso</t>
  </si>
  <si>
    <t>Luiz Inácio Lula da Silva</t>
  </si>
  <si>
    <t>Dilma Rousseff</t>
  </si>
  <si>
    <t>Michel Temer</t>
  </si>
  <si>
    <t>Daniel Alves (Barcelona)</t>
  </si>
  <si>
    <t>Maicon (Roma)</t>
  </si>
  <si>
    <t>Marcelo (Real Madrid)</t>
  </si>
  <si>
    <t>Maxwell (PSG)</t>
  </si>
  <si>
    <t>Bernard (Shakhtar)</t>
  </si>
  <si>
    <t>Fred (Fluminense)</t>
  </si>
  <si>
    <t>Hulk (Zenit)</t>
  </si>
  <si>
    <t>Jô (Atlético-MG)</t>
  </si>
  <si>
    <t>Neymar (Barcelona)</t>
  </si>
  <si>
    <t>Fernandinho (Manchester City)</t>
  </si>
  <si>
    <t>Hernanes (Inter de Milão)</t>
  </si>
  <si>
    <t>Dante (Bayern de Munique)</t>
  </si>
  <si>
    <t>David Luiz (Chelsea)</t>
  </si>
  <si>
    <t>Henrique (Napoli)</t>
  </si>
  <si>
    <t>Thiago Silva (PSG</t>
  </si>
  <si>
    <t>Ademar Pimenta</t>
  </si>
  <si>
    <t>Aimoré Moreira</t>
  </si>
  <si>
    <t>Carlos Alberto Parreira</t>
  </si>
  <si>
    <t>Cláudio Coutinho</t>
  </si>
  <si>
    <t>Dunga</t>
  </si>
  <si>
    <t>Flávio Costa</t>
  </si>
  <si>
    <t>Luis Felipe Scolari</t>
  </si>
  <si>
    <t>Luís Vinhais</t>
  </si>
  <si>
    <t>Mário Jorge Lobo Zagallo</t>
  </si>
  <si>
    <t>Píndaro do Carvalho</t>
  </si>
  <si>
    <t>Sebastião Lazaroni</t>
  </si>
  <si>
    <t>Telê Santana</t>
  </si>
  <si>
    <t>Tite</t>
  </si>
  <si>
    <t>Vicente Feola</t>
  </si>
  <si>
    <t>Zezé Moreira</t>
  </si>
  <si>
    <t>CIPA</t>
  </si>
  <si>
    <t xml:space="preserve"> Adam Sandler</t>
  </si>
  <si>
    <t xml:space="preserve"> Al Pacino</t>
  </si>
  <si>
    <t xml:space="preserve"> Angelina Jolie</t>
  </si>
  <si>
    <t xml:space="preserve"> Anthony Hopkins</t>
  </si>
  <si>
    <t xml:space="preserve"> Antonio Banderas</t>
  </si>
  <si>
    <t xml:space="preserve"> Arnold Schwarzenegger</t>
  </si>
  <si>
    <t xml:space="preserve"> Ben Stiller</t>
  </si>
  <si>
    <t xml:space="preserve"> Brad Pitt</t>
  </si>
  <si>
    <t xml:space="preserve"> Bruce Willis</t>
  </si>
  <si>
    <t xml:space="preserve"> Cameron Diaz</t>
  </si>
  <si>
    <t xml:space="preserve"> Charles Bronson</t>
  </si>
  <si>
    <t xml:space="preserve"> Clint Eastwood</t>
  </si>
  <si>
    <t xml:space="preserve"> Cuba Gooding Jr.</t>
  </si>
  <si>
    <t xml:space="preserve"> Denzel Washington</t>
  </si>
  <si>
    <t xml:space="preserve"> Harrison Ford</t>
  </si>
  <si>
    <t xml:space="preserve"> Jack Nicholson</t>
  </si>
  <si>
    <t xml:space="preserve"> Jason Statham</t>
  </si>
  <si>
    <t xml:space="preserve"> Jet Li</t>
  </si>
  <si>
    <t xml:space="preserve"> Jim Carrey</t>
  </si>
  <si>
    <t xml:space="preserve"> John Travolta</t>
  </si>
  <si>
    <t xml:space="preserve"> John Wayne</t>
  </si>
  <si>
    <t xml:space="preserve"> Johnny Depp</t>
  </si>
  <si>
    <t xml:space="preserve"> Julia Roberts</t>
  </si>
  <si>
    <t xml:space="preserve"> Keanu Reeves</t>
  </si>
  <si>
    <t xml:space="preserve"> Kevin Costner</t>
  </si>
  <si>
    <t xml:space="preserve"> Leonardo DiCaprio</t>
  </si>
  <si>
    <t xml:space="preserve"> Mel Gibson</t>
  </si>
  <si>
    <t xml:space="preserve"> Meryl Streep</t>
  </si>
  <si>
    <t xml:space="preserve"> Morgan Freeman</t>
  </si>
  <si>
    <t xml:space="preserve"> Nicole Kidman</t>
  </si>
  <si>
    <t xml:space="preserve"> Richard Gere</t>
  </si>
  <si>
    <t xml:space="preserve"> Robert De Niro</t>
  </si>
  <si>
    <t xml:space="preserve"> Robin Williams</t>
  </si>
  <si>
    <t xml:space="preserve"> Samuel L. Jackson</t>
  </si>
  <si>
    <t xml:space="preserve"> Sandra Bullock</t>
  </si>
  <si>
    <t xml:space="preserve"> Sylvester Stallone</t>
  </si>
  <si>
    <t xml:space="preserve"> Tom Cruise</t>
  </si>
  <si>
    <t xml:space="preserve"> Tom Hanks</t>
  </si>
  <si>
    <t xml:space="preserve"> Will Smith</t>
  </si>
  <si>
    <t>FEEDBACK</t>
  </si>
  <si>
    <t>Libras</t>
  </si>
  <si>
    <t>Atendimento ao Cliente</t>
  </si>
  <si>
    <t>Administração de Conflitos</t>
  </si>
  <si>
    <t>Eletricidade Básica</t>
  </si>
  <si>
    <t>Inglês Básico</t>
  </si>
  <si>
    <t>Excel Avançado</t>
  </si>
  <si>
    <t>Prospecção</t>
  </si>
  <si>
    <t>Fechamento de contrato</t>
  </si>
  <si>
    <t>Vendedor</t>
  </si>
  <si>
    <t>SIM</t>
  </si>
  <si>
    <t>NÃO</t>
  </si>
  <si>
    <t>Rio Novo</t>
  </si>
  <si>
    <t>Preço Unitário</t>
  </si>
  <si>
    <t>Nova Data</t>
  </si>
  <si>
    <t>BelaDona</t>
  </si>
  <si>
    <t>Suave Lazer</t>
  </si>
  <si>
    <t>Mário Silva</t>
  </si>
  <si>
    <t>CNPJ</t>
  </si>
  <si>
    <t>Demanda</t>
  </si>
  <si>
    <t>Agua Viva AS</t>
  </si>
  <si>
    <t>Controle AS</t>
  </si>
  <si>
    <t>Vereda Tropical</t>
  </si>
  <si>
    <t>Real Avenida LTDA</t>
  </si>
  <si>
    <t>Viemos Academia</t>
  </si>
  <si>
    <t>Norte Via</t>
  </si>
  <si>
    <t>Area viva modas</t>
  </si>
  <si>
    <t>Rio Sul Varejo</t>
  </si>
  <si>
    <t>Rosamaria Representações</t>
  </si>
  <si>
    <t>Condomínio Lagamar</t>
  </si>
  <si>
    <t>Itamar Saúde</t>
  </si>
  <si>
    <t>Via Future Capacitações</t>
  </si>
  <si>
    <t>Rio da Vida Saúde AS</t>
  </si>
  <si>
    <t>GuiModas Fashion</t>
  </si>
  <si>
    <t>Brenda Mesquita</t>
  </si>
  <si>
    <t>Moinho Ventura</t>
  </si>
  <si>
    <t>Sal da Terra LTDA</t>
  </si>
  <si>
    <t>Cliente - Nome Fantasia</t>
  </si>
  <si>
    <t>Cadastro de Reclamação</t>
  </si>
  <si>
    <t>Retorno à reclamação</t>
  </si>
  <si>
    <t>Sim</t>
  </si>
  <si>
    <t>Não</t>
  </si>
  <si>
    <t>Desconto</t>
  </si>
  <si>
    <t>Novo Cliente</t>
  </si>
  <si>
    <t>Tipo de Cliente</t>
  </si>
  <si>
    <t>JANEIRO</t>
  </si>
  <si>
    <t>FEVEREIRO</t>
  </si>
  <si>
    <t>MARÇO</t>
  </si>
  <si>
    <t>Data da Admissão</t>
  </si>
  <si>
    <t>Salário</t>
  </si>
  <si>
    <t>nº mês</t>
  </si>
  <si>
    <t>Horas de Capacitação</t>
  </si>
  <si>
    <t>Produto</t>
  </si>
  <si>
    <t>Satifação com o Produto</t>
  </si>
  <si>
    <t>Área</t>
  </si>
  <si>
    <t>Administração</t>
  </si>
  <si>
    <t>Manutenção</t>
  </si>
  <si>
    <t>Gerência</t>
  </si>
  <si>
    <t>Estgiário</t>
  </si>
  <si>
    <t>Motorista</t>
  </si>
  <si>
    <t>Consultor</t>
  </si>
  <si>
    <t>Coodenador</t>
  </si>
  <si>
    <t>Cod conta 1º nível</t>
  </si>
  <si>
    <t>Cod conta 2º nível</t>
  </si>
  <si>
    <t>Cod conta 3º nível</t>
  </si>
  <si>
    <t>111</t>
  </si>
  <si>
    <t>115</t>
  </si>
  <si>
    <t>114</t>
  </si>
  <si>
    <t>117</t>
  </si>
  <si>
    <t>116</t>
  </si>
  <si>
    <t>211</t>
  </si>
  <si>
    <t>112</t>
  </si>
  <si>
    <t>123</t>
  </si>
  <si>
    <t>212</t>
  </si>
  <si>
    <t>ABRIL</t>
  </si>
  <si>
    <t>Técnicas de Vendas</t>
  </si>
  <si>
    <t>Foma de Pagamento</t>
  </si>
  <si>
    <t>Tranferencia bancária</t>
  </si>
  <si>
    <t>MAIO</t>
  </si>
  <si>
    <t>Técnicas de Vendas II</t>
  </si>
  <si>
    <t>Reclamação Cadastrada</t>
  </si>
  <si>
    <t>Atendimento</t>
  </si>
  <si>
    <t>Prazo de Entrega</t>
  </si>
  <si>
    <t>Qualidade do Serviço/produto</t>
  </si>
  <si>
    <t>Informação / Sistemas</t>
  </si>
  <si>
    <t>Outros</t>
  </si>
  <si>
    <t>Espécie</t>
  </si>
  <si>
    <t>Boleto bancário</t>
  </si>
  <si>
    <t>PIX</t>
  </si>
  <si>
    <t>FEEDBACK II</t>
  </si>
  <si>
    <t>PCMAT</t>
  </si>
  <si>
    <t>LTCAT</t>
  </si>
  <si>
    <t>PCMSO</t>
  </si>
  <si>
    <t>Ano</t>
  </si>
  <si>
    <t>JUNHO</t>
  </si>
  <si>
    <t>JULHO</t>
  </si>
  <si>
    <t>AGOSTO</t>
  </si>
  <si>
    <t>SETEMBRO</t>
  </si>
  <si>
    <t>OUTUBRO</t>
  </si>
  <si>
    <t>NOVEMBRO</t>
  </si>
  <si>
    <t>DEZEMBRO</t>
  </si>
  <si>
    <t>nº Mês</t>
  </si>
  <si>
    <t>OUTOBRO</t>
  </si>
  <si>
    <t>Data da Demissão</t>
  </si>
  <si>
    <t xml:space="preserve">Place II Vivendas </t>
  </si>
  <si>
    <t xml:space="preserve">Place I Vivendas </t>
  </si>
  <si>
    <t>Alimentação &amp; Saúde - Refeição Industrial</t>
  </si>
  <si>
    <t>Maria Vitória Academia</t>
  </si>
  <si>
    <t>Moinho Santo Antônio</t>
  </si>
  <si>
    <t>Rio das Pedras</t>
  </si>
  <si>
    <t>Água viva Aviamentos</t>
  </si>
  <si>
    <t>Saude Academia</t>
  </si>
  <si>
    <t>Juazeirense Curtume</t>
  </si>
  <si>
    <t>Comer Bem Alimentação Industrial</t>
  </si>
  <si>
    <t>Cajuina São Bento</t>
  </si>
  <si>
    <t>Altair Engenharia</t>
  </si>
  <si>
    <t>SUCODA FRURA S/A</t>
  </si>
  <si>
    <t>Condominio Pais das Maravilhas</t>
  </si>
  <si>
    <t>Vila do Sossego</t>
  </si>
  <si>
    <t xml:space="preserve">Do Leme ao Pontal </t>
  </si>
  <si>
    <t>Viva a Vida Condominio</t>
  </si>
  <si>
    <t>Vila Madalena Representações</t>
  </si>
  <si>
    <t>Fabinho (Liverpool/ING)</t>
  </si>
  <si>
    <t>Fred (Manchester United/ING)</t>
  </si>
  <si>
    <t>Iniciação ao POWER BI</t>
  </si>
  <si>
    <t>Realizado</t>
  </si>
  <si>
    <t>Receitas de Serviço (contratos)</t>
  </si>
  <si>
    <t>Quantidade de atendimentos</t>
  </si>
  <si>
    <t>Pesquisa de Clima Organizacional</t>
  </si>
  <si>
    <t>NPS</t>
  </si>
  <si>
    <t>NPS2</t>
  </si>
  <si>
    <t>Motivo do contrato</t>
  </si>
  <si>
    <t>Mirante</t>
  </si>
  <si>
    <t>Sol Leste</t>
  </si>
  <si>
    <t>Vitória</t>
  </si>
  <si>
    <t>Mirante;Sol Leste;Vitória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</si>
</sst>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72"/>
      <name val="Calibri"/>
      <family val="2"/>
      <scheme val="minor"/>
    </font>
    <font>
      <sz val="10"/>
      <color rgb="FF1D2228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hair">
        <color indexed="8"/>
      </top>
      <bottom style="thin">
        <color theme="0" tint="-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/>
    <xf numFmtId="44" fontId="1" fillId="0" borderId="0" applyFont="0" applyFill="0" applyBorder="0" applyAlignment="0" applyProtection="0"/>
  </cellStyleXfs>
  <cellXfs count="70">
    <xf numFmtId="0" fontId="0" fillId="0" borderId="0" xfId="0"/>
    <xf numFmtId="0" fontId="3" fillId="2" borderId="3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9" fontId="4" fillId="0" borderId="1" xfId="1" applyFont="1" applyFill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5" fillId="0" borderId="1" xfId="2" applyFont="1" applyBorder="1" applyAlignment="1">
      <alignment horizontal="left" vertical="center"/>
    </xf>
    <xf numFmtId="14" fontId="4" fillId="0" borderId="1" xfId="0" applyNumberFormat="1" applyFont="1" applyBorder="1" applyAlignment="1">
      <alignment horizontal="center" vertical="center"/>
    </xf>
    <xf numFmtId="14" fontId="4" fillId="0" borderId="2" xfId="0" applyNumberFormat="1" applyFont="1" applyBorder="1" applyAlignment="1">
      <alignment horizontal="center"/>
    </xf>
    <xf numFmtId="0" fontId="5" fillId="0" borderId="1" xfId="2" applyFont="1" applyBorder="1" applyAlignment="1">
      <alignment horizontal="center" vertic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14" fontId="5" fillId="0" borderId="1" xfId="2" applyNumberFormat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2" applyFont="1" applyFill="1" applyBorder="1" applyAlignment="1">
      <alignment horizontal="left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3" borderId="2" xfId="0" applyNumberFormat="1" applyFont="1" applyFill="1" applyBorder="1" applyAlignment="1">
      <alignment horizontal="center"/>
    </xf>
    <xf numFmtId="0" fontId="5" fillId="3" borderId="1" xfId="2" applyFont="1" applyFill="1" applyBorder="1" applyAlignment="1">
      <alignment horizontal="center" vertical="center"/>
    </xf>
    <xf numFmtId="0" fontId="4" fillId="3" borderId="1" xfId="0" applyFont="1" applyFill="1" applyBorder="1"/>
    <xf numFmtId="0" fontId="4" fillId="3" borderId="1" xfId="0" applyFont="1" applyFill="1" applyBorder="1" applyAlignment="1">
      <alignment horizontal="center"/>
    </xf>
    <xf numFmtId="14" fontId="4" fillId="3" borderId="1" xfId="0" applyNumberFormat="1" applyFont="1" applyFill="1" applyBorder="1" applyAlignment="1">
      <alignment horizontal="center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164" fontId="4" fillId="0" borderId="2" xfId="0" applyNumberFormat="1" applyFont="1" applyBorder="1" applyAlignment="1">
      <alignment horizontal="left"/>
    </xf>
    <xf numFmtId="164" fontId="4" fillId="0" borderId="1" xfId="0" applyNumberFormat="1" applyFont="1" applyBorder="1" applyAlignment="1">
      <alignment horizontal="right"/>
    </xf>
    <xf numFmtId="1" fontId="6" fillId="0" borderId="4" xfId="0" applyNumberFormat="1" applyFont="1" applyBorder="1" applyAlignment="1">
      <alignment horizontal="center" vertical="center" wrapText="1"/>
    </xf>
    <xf numFmtId="4" fontId="4" fillId="0" borderId="1" xfId="0" applyNumberFormat="1" applyFont="1" applyBorder="1" applyAlignment="1">
      <alignment horizontal="center"/>
    </xf>
    <xf numFmtId="0" fontId="5" fillId="0" borderId="2" xfId="2" applyFont="1" applyBorder="1" applyAlignment="1">
      <alignment horizontal="left" vertical="center"/>
    </xf>
    <xf numFmtId="164" fontId="4" fillId="0" borderId="2" xfId="0" applyNumberFormat="1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9" fontId="4" fillId="0" borderId="1" xfId="1" applyFont="1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 wrapText="1"/>
    </xf>
    <xf numFmtId="4" fontId="4" fillId="0" borderId="1" xfId="0" applyNumberFormat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left"/>
    </xf>
    <xf numFmtId="164" fontId="4" fillId="3" borderId="2" xfId="0" applyNumberFormat="1" applyFont="1" applyFill="1" applyBorder="1" applyAlignment="1">
      <alignment horizontal="left"/>
    </xf>
    <xf numFmtId="164" fontId="4" fillId="3" borderId="1" xfId="0" applyNumberFormat="1" applyFont="1" applyFill="1" applyBorder="1" applyAlignment="1">
      <alignment horizontal="right"/>
    </xf>
    <xf numFmtId="9" fontId="4" fillId="3" borderId="1" xfId="1" applyFont="1" applyFill="1" applyBorder="1" applyAlignment="1">
      <alignment horizontal="center"/>
    </xf>
    <xf numFmtId="1" fontId="6" fillId="3" borderId="4" xfId="0" applyNumberFormat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/>
    </xf>
    <xf numFmtId="164" fontId="4" fillId="3" borderId="1" xfId="0" applyNumberFormat="1" applyFont="1" applyFill="1" applyBorder="1" applyAlignment="1">
      <alignment horizontal="center"/>
    </xf>
    <xf numFmtId="4" fontId="4" fillId="3" borderId="1" xfId="0" applyNumberFormat="1" applyFont="1" applyFill="1" applyBorder="1" applyAlignment="1">
      <alignment horizontal="center"/>
    </xf>
    <xf numFmtId="164" fontId="4" fillId="0" borderId="1" xfId="0" applyNumberFormat="1" applyFont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44" fontId="5" fillId="3" borderId="1" xfId="3" applyFont="1" applyFill="1" applyBorder="1" applyAlignment="1">
      <alignment horizontal="center" vertical="center"/>
    </xf>
    <xf numFmtId="44" fontId="5" fillId="0" borderId="1" xfId="3" applyFont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3" fontId="4" fillId="3" borderId="1" xfId="0" applyNumberFormat="1" applyFont="1" applyFill="1" applyBorder="1" applyAlignment="1">
      <alignment horizontal="center"/>
    </xf>
    <xf numFmtId="3" fontId="4" fillId="0" borderId="1" xfId="0" applyNumberFormat="1" applyFont="1" applyBorder="1" applyAlignment="1">
      <alignment horizontal="center"/>
    </xf>
    <xf numFmtId="3" fontId="4" fillId="0" borderId="1" xfId="0" applyNumberFormat="1" applyFont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/>
    </xf>
    <xf numFmtId="0" fontId="7" fillId="0" borderId="1" xfId="0" applyFont="1" applyBorder="1" applyAlignment="1">
      <alignment vertical="center" wrapText="1"/>
    </xf>
    <xf numFmtId="0" fontId="4" fillId="3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14" fontId="5" fillId="0" borderId="2" xfId="2" applyNumberFormat="1" applyFont="1" applyBorder="1" applyAlignment="1">
      <alignment horizontal="center" vertical="center"/>
    </xf>
    <xf numFmtId="164" fontId="4" fillId="3" borderId="2" xfId="0" applyNumberFormat="1" applyFont="1" applyFill="1" applyBorder="1" applyAlignment="1">
      <alignment horizontal="right"/>
    </xf>
    <xf numFmtId="9" fontId="4" fillId="3" borderId="2" xfId="1" applyFont="1" applyFill="1" applyBorder="1" applyAlignment="1">
      <alignment horizontal="center"/>
    </xf>
    <xf numFmtId="1" fontId="6" fillId="3" borderId="2" xfId="0" applyNumberFormat="1" applyFont="1" applyFill="1" applyBorder="1" applyAlignment="1">
      <alignment horizontal="center" vertical="center" wrapText="1"/>
    </xf>
    <xf numFmtId="164" fontId="4" fillId="3" borderId="2" xfId="0" applyNumberFormat="1" applyFont="1" applyFill="1" applyBorder="1" applyAlignment="1">
      <alignment horizontal="center"/>
    </xf>
    <xf numFmtId="4" fontId="4" fillId="3" borderId="2" xfId="0" applyNumberFormat="1" applyFont="1" applyFill="1" applyBorder="1" applyAlignment="1">
      <alignment horizontal="center"/>
    </xf>
    <xf numFmtId="3" fontId="4" fillId="3" borderId="2" xfId="0" applyNumberFormat="1" applyFont="1" applyFill="1" applyBorder="1" applyAlignment="1">
      <alignment horizontal="center"/>
    </xf>
    <xf numFmtId="164" fontId="0" fillId="0" borderId="0" xfId="0" applyNumberFormat="1"/>
  </cellXfs>
  <cellStyles count="4">
    <cellStyle name="Moeda" xfId="3" builtinId="4"/>
    <cellStyle name="Normal" xfId="0" builtinId="0"/>
    <cellStyle name="Normal 2" xfId="2" xr:uid="{00000000-0005-0000-0000-000001000000}"/>
    <cellStyle name="Porcentagem" xfId="1" builtinId="5"/>
  </cellStyles>
  <dxfs count="0"/>
  <tableStyles count="0" defaultTableStyle="TableStyleMedium2" defaultPivotStyle="PivotStyleMedium9"/>
  <colors>
    <mruColors>
      <color rgb="FFF8F8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39997558519241921"/>
  </sheetPr>
  <dimension ref="A1:L447"/>
  <sheetViews>
    <sheetView tabSelected="1" zoomScale="130" zoomScaleNormal="130" workbookViewId="0">
      <pane xSplit="1" ySplit="1" topLeftCell="B356" activePane="bottomRight" state="frozen"/>
      <selection pane="topRight" activeCell="B1" sqref="B1"/>
      <selection pane="bottomLeft" activeCell="A2" sqref="A2"/>
      <selection pane="bottomRight" activeCell="C7" sqref="C7"/>
    </sheetView>
  </sheetViews>
  <sheetFormatPr defaultRowHeight="15" x14ac:dyDescent="0.25"/>
  <cols>
    <col min="1" max="1" width="20" customWidth="1"/>
    <col min="2" max="2" width="13.42578125" customWidth="1"/>
    <col min="3" max="3" width="15.42578125" customWidth="1"/>
    <col min="4" max="4" width="13" customWidth="1"/>
    <col min="5" max="5" width="19" customWidth="1"/>
    <col min="6" max="6" width="11.5703125" customWidth="1"/>
    <col min="7" max="7" width="21.140625" customWidth="1"/>
    <col min="8" max="8" width="14.140625" customWidth="1"/>
    <col min="9" max="9" width="12.7109375" customWidth="1"/>
    <col min="10" max="10" width="10.28515625" bestFit="1" customWidth="1"/>
    <col min="11" max="11" width="10.28515625" customWidth="1"/>
    <col min="12" max="12" width="17.140625" customWidth="1"/>
    <col min="13" max="13" width="15" bestFit="1" customWidth="1"/>
  </cols>
  <sheetData>
    <row r="1" spans="1:12" ht="33" customHeight="1" x14ac:dyDescent="0.25">
      <c r="A1" s="1" t="s">
        <v>0</v>
      </c>
      <c r="B1" s="1" t="s">
        <v>16</v>
      </c>
      <c r="C1" s="1" t="s">
        <v>15</v>
      </c>
      <c r="D1" s="1" t="s">
        <v>196</v>
      </c>
      <c r="E1" s="1" t="s">
        <v>19</v>
      </c>
      <c r="F1" s="1" t="s">
        <v>197</v>
      </c>
      <c r="G1" s="1" t="s">
        <v>21</v>
      </c>
      <c r="H1" s="1" t="s">
        <v>198</v>
      </c>
      <c r="I1" s="1" t="s">
        <v>227</v>
      </c>
      <c r="J1" s="1" t="s">
        <v>17</v>
      </c>
      <c r="K1" s="1" t="s">
        <v>184</v>
      </c>
      <c r="L1" s="1" t="s">
        <v>259</v>
      </c>
    </row>
    <row r="2" spans="1:12" ht="13.9" customHeight="1" x14ac:dyDescent="0.25">
      <c r="A2" s="5" t="s">
        <v>266</v>
      </c>
      <c r="B2" s="6">
        <v>10113</v>
      </c>
      <c r="C2" s="6" t="s">
        <v>5</v>
      </c>
      <c r="D2" s="6">
        <v>1</v>
      </c>
      <c r="E2" s="6" t="s">
        <v>1</v>
      </c>
      <c r="F2" s="6">
        <v>11</v>
      </c>
      <c r="G2" s="5" t="s">
        <v>6</v>
      </c>
      <c r="H2" s="6" t="s">
        <v>199</v>
      </c>
      <c r="I2" s="6">
        <v>2022</v>
      </c>
      <c r="J2" s="6" t="s">
        <v>179</v>
      </c>
      <c r="K2" s="6">
        <v>1</v>
      </c>
      <c r="L2" s="46">
        <v>278804.36</v>
      </c>
    </row>
    <row r="3" spans="1:12" ht="13.9" customHeight="1" x14ac:dyDescent="0.25">
      <c r="A3" s="5" t="s">
        <v>266</v>
      </c>
      <c r="B3" s="17">
        <v>10113</v>
      </c>
      <c r="C3" s="17" t="s">
        <v>5</v>
      </c>
      <c r="D3" s="17">
        <v>1</v>
      </c>
      <c r="E3" s="17" t="s">
        <v>1</v>
      </c>
      <c r="F3" s="17">
        <v>11</v>
      </c>
      <c r="G3" s="16" t="s">
        <v>9</v>
      </c>
      <c r="H3" s="17" t="s">
        <v>200</v>
      </c>
      <c r="I3" s="17">
        <v>2022</v>
      </c>
      <c r="J3" s="17" t="s">
        <v>179</v>
      </c>
      <c r="K3" s="17">
        <v>1</v>
      </c>
      <c r="L3" s="47">
        <v>11159.69</v>
      </c>
    </row>
    <row r="4" spans="1:12" ht="13.9" customHeight="1" x14ac:dyDescent="0.25">
      <c r="A4" s="5" t="s">
        <v>266</v>
      </c>
      <c r="B4" s="6">
        <v>10113</v>
      </c>
      <c r="C4" s="6" t="s">
        <v>5</v>
      </c>
      <c r="D4" s="6">
        <v>1</v>
      </c>
      <c r="E4" s="6" t="s">
        <v>1</v>
      </c>
      <c r="F4" s="6">
        <v>11</v>
      </c>
      <c r="G4" s="5" t="s">
        <v>7</v>
      </c>
      <c r="H4" s="6" t="s">
        <v>201</v>
      </c>
      <c r="I4" s="6">
        <v>2022</v>
      </c>
      <c r="J4" s="6" t="s">
        <v>179</v>
      </c>
      <c r="K4" s="6">
        <v>1</v>
      </c>
      <c r="L4" s="46">
        <v>20196.21</v>
      </c>
    </row>
    <row r="5" spans="1:12" ht="13.9" customHeight="1" x14ac:dyDescent="0.25">
      <c r="A5" s="5" t="s">
        <v>266</v>
      </c>
      <c r="B5" s="17">
        <v>10113</v>
      </c>
      <c r="C5" s="17" t="s">
        <v>5</v>
      </c>
      <c r="D5" s="17">
        <v>1</v>
      </c>
      <c r="E5" s="17" t="s">
        <v>1</v>
      </c>
      <c r="F5" s="17">
        <v>11</v>
      </c>
      <c r="G5" s="16" t="s">
        <v>10</v>
      </c>
      <c r="H5" s="17" t="s">
        <v>199</v>
      </c>
      <c r="I5" s="17">
        <v>2022</v>
      </c>
      <c r="J5" s="17" t="s">
        <v>179</v>
      </c>
      <c r="K5" s="17">
        <v>1</v>
      </c>
      <c r="L5" s="47">
        <v>14646.09</v>
      </c>
    </row>
    <row r="6" spans="1:12" ht="13.9" customHeight="1" x14ac:dyDescent="0.25">
      <c r="A6" s="5" t="s">
        <v>266</v>
      </c>
      <c r="B6" s="6">
        <v>10113</v>
      </c>
      <c r="C6" s="6" t="s">
        <v>5</v>
      </c>
      <c r="D6" s="6">
        <v>1</v>
      </c>
      <c r="E6" s="6" t="s">
        <v>1</v>
      </c>
      <c r="F6" s="6">
        <v>11</v>
      </c>
      <c r="G6" s="5" t="s">
        <v>11</v>
      </c>
      <c r="H6" s="6" t="s">
        <v>202</v>
      </c>
      <c r="I6" s="6">
        <v>2022</v>
      </c>
      <c r="J6" s="6" t="s">
        <v>179</v>
      </c>
      <c r="K6" s="6">
        <v>1</v>
      </c>
      <c r="L6" s="46">
        <v>33010.870000000003</v>
      </c>
    </row>
    <row r="7" spans="1:12" ht="13.9" customHeight="1" x14ac:dyDescent="0.25">
      <c r="A7" s="5" t="s">
        <v>266</v>
      </c>
      <c r="B7" s="17">
        <v>10113</v>
      </c>
      <c r="C7" s="17" t="s">
        <v>5</v>
      </c>
      <c r="D7" s="17">
        <v>1</v>
      </c>
      <c r="E7" s="17" t="s">
        <v>1</v>
      </c>
      <c r="F7" s="17">
        <v>11</v>
      </c>
      <c r="G7" s="16" t="s">
        <v>12</v>
      </c>
      <c r="H7" s="17" t="s">
        <v>205</v>
      </c>
      <c r="I7" s="17">
        <v>2022</v>
      </c>
      <c r="J7" s="17" t="s">
        <v>179</v>
      </c>
      <c r="K7" s="17">
        <v>1</v>
      </c>
      <c r="L7" s="47">
        <v>27564.79</v>
      </c>
    </row>
    <row r="8" spans="1:12" ht="13.9" customHeight="1" x14ac:dyDescent="0.25">
      <c r="A8" s="5" t="s">
        <v>266</v>
      </c>
      <c r="B8" s="6">
        <v>10113</v>
      </c>
      <c r="C8" s="6" t="s">
        <v>5</v>
      </c>
      <c r="D8" s="6">
        <v>1</v>
      </c>
      <c r="E8" s="6" t="s">
        <v>1</v>
      </c>
      <c r="F8" s="6">
        <v>11</v>
      </c>
      <c r="G8" s="5" t="s">
        <v>18</v>
      </c>
      <c r="H8" s="6" t="s">
        <v>203</v>
      </c>
      <c r="I8" s="6">
        <v>2022</v>
      </c>
      <c r="J8" s="6" t="s">
        <v>179</v>
      </c>
      <c r="K8" s="6">
        <v>1</v>
      </c>
      <c r="L8" s="46">
        <v>6229.32</v>
      </c>
    </row>
    <row r="9" spans="1:12" ht="13.9" customHeight="1" x14ac:dyDescent="0.25">
      <c r="A9" s="5" t="s">
        <v>266</v>
      </c>
      <c r="B9" s="17">
        <v>10113</v>
      </c>
      <c r="C9" s="17" t="s">
        <v>5</v>
      </c>
      <c r="D9" s="17">
        <v>1</v>
      </c>
      <c r="E9" s="17" t="s">
        <v>3</v>
      </c>
      <c r="F9" s="17">
        <v>12</v>
      </c>
      <c r="G9" s="16" t="s">
        <v>8</v>
      </c>
      <c r="H9" s="17" t="s">
        <v>206</v>
      </c>
      <c r="I9" s="17">
        <v>2022</v>
      </c>
      <c r="J9" s="17" t="s">
        <v>179</v>
      </c>
      <c r="K9" s="17">
        <v>1</v>
      </c>
      <c r="L9" s="47">
        <v>4354.6099999999997</v>
      </c>
    </row>
    <row r="10" spans="1:12" ht="13.9" customHeight="1" x14ac:dyDescent="0.25">
      <c r="A10" s="5" t="s">
        <v>266</v>
      </c>
      <c r="B10" s="6">
        <v>10113</v>
      </c>
      <c r="C10" s="6" t="s">
        <v>20</v>
      </c>
      <c r="D10" s="6">
        <v>2</v>
      </c>
      <c r="E10" s="6" t="s">
        <v>4</v>
      </c>
      <c r="F10" s="6">
        <v>21</v>
      </c>
      <c r="G10" s="5" t="s">
        <v>13</v>
      </c>
      <c r="H10" s="6" t="s">
        <v>204</v>
      </c>
      <c r="I10" s="6">
        <v>2022</v>
      </c>
      <c r="J10" s="6" t="s">
        <v>179</v>
      </c>
      <c r="K10" s="6">
        <v>1</v>
      </c>
      <c r="L10" s="46">
        <v>895161.4</v>
      </c>
    </row>
    <row r="11" spans="1:12" ht="13.9" customHeight="1" x14ac:dyDescent="0.25">
      <c r="A11" s="5" t="s">
        <v>266</v>
      </c>
      <c r="B11" s="17">
        <v>10113</v>
      </c>
      <c r="C11" s="17" t="s">
        <v>20</v>
      </c>
      <c r="D11" s="17">
        <v>2</v>
      </c>
      <c r="E11" s="17" t="s">
        <v>4</v>
      </c>
      <c r="F11" s="17">
        <v>21</v>
      </c>
      <c r="G11" s="16" t="s">
        <v>14</v>
      </c>
      <c r="H11" s="17" t="s">
        <v>207</v>
      </c>
      <c r="I11" s="17">
        <v>2022</v>
      </c>
      <c r="J11" s="17" t="s">
        <v>179</v>
      </c>
      <c r="K11" s="17">
        <v>1</v>
      </c>
      <c r="L11" s="47">
        <v>42292.11</v>
      </c>
    </row>
    <row r="12" spans="1:12" ht="13.9" customHeight="1" x14ac:dyDescent="0.25">
      <c r="A12" s="5" t="s">
        <v>266</v>
      </c>
      <c r="B12" s="6">
        <v>10113</v>
      </c>
      <c r="C12" s="6" t="s">
        <v>5</v>
      </c>
      <c r="D12" s="6">
        <v>1</v>
      </c>
      <c r="E12" s="6" t="s">
        <v>1</v>
      </c>
      <c r="F12" s="6">
        <v>11</v>
      </c>
      <c r="G12" s="5" t="s">
        <v>6</v>
      </c>
      <c r="H12" s="6" t="s">
        <v>199</v>
      </c>
      <c r="I12" s="6">
        <v>2022</v>
      </c>
      <c r="J12" s="6" t="s">
        <v>180</v>
      </c>
      <c r="K12" s="6">
        <v>2</v>
      </c>
      <c r="L12" s="46">
        <v>313272.08</v>
      </c>
    </row>
    <row r="13" spans="1:12" ht="13.9" customHeight="1" x14ac:dyDescent="0.25">
      <c r="A13" s="5" t="s">
        <v>266</v>
      </c>
      <c r="B13" s="17">
        <v>10113</v>
      </c>
      <c r="C13" s="17" t="s">
        <v>5</v>
      </c>
      <c r="D13" s="17">
        <v>1</v>
      </c>
      <c r="E13" s="17" t="s">
        <v>1</v>
      </c>
      <c r="F13" s="17">
        <v>11</v>
      </c>
      <c r="G13" s="16" t="s">
        <v>9</v>
      </c>
      <c r="H13" s="17" t="s">
        <v>200</v>
      </c>
      <c r="I13" s="17">
        <v>2022</v>
      </c>
      <c r="J13" s="17" t="s">
        <v>180</v>
      </c>
      <c r="K13" s="17">
        <v>2</v>
      </c>
      <c r="L13" s="47">
        <v>11717.68</v>
      </c>
    </row>
    <row r="14" spans="1:12" ht="13.9" customHeight="1" x14ac:dyDescent="0.25">
      <c r="A14" s="5" t="s">
        <v>266</v>
      </c>
      <c r="B14" s="6">
        <v>10113</v>
      </c>
      <c r="C14" s="6" t="s">
        <v>5</v>
      </c>
      <c r="D14" s="6">
        <v>1</v>
      </c>
      <c r="E14" s="6" t="s">
        <v>1</v>
      </c>
      <c r="F14" s="6">
        <v>11</v>
      </c>
      <c r="G14" s="5" t="s">
        <v>7</v>
      </c>
      <c r="H14" s="6" t="s">
        <v>201</v>
      </c>
      <c r="I14" s="6">
        <v>2022</v>
      </c>
      <c r="J14" s="6" t="s">
        <v>180</v>
      </c>
      <c r="K14" s="6">
        <v>2</v>
      </c>
      <c r="L14" s="50">
        <v>21206.01</v>
      </c>
    </row>
    <row r="15" spans="1:12" ht="13.9" customHeight="1" x14ac:dyDescent="0.25">
      <c r="A15" s="5" t="s">
        <v>266</v>
      </c>
      <c r="B15" s="17">
        <v>10113</v>
      </c>
      <c r="C15" s="17" t="s">
        <v>5</v>
      </c>
      <c r="D15" s="17">
        <v>1</v>
      </c>
      <c r="E15" s="17" t="s">
        <v>1</v>
      </c>
      <c r="F15" s="17">
        <v>11</v>
      </c>
      <c r="G15" s="16" t="s">
        <v>10</v>
      </c>
      <c r="H15" s="17" t="s">
        <v>199</v>
      </c>
      <c r="I15" s="17">
        <v>2022</v>
      </c>
      <c r="J15" s="17" t="s">
        <v>180</v>
      </c>
      <c r="K15" s="17">
        <v>2</v>
      </c>
      <c r="L15" s="47">
        <v>15378.39</v>
      </c>
    </row>
    <row r="16" spans="1:12" ht="13.9" customHeight="1" x14ac:dyDescent="0.25">
      <c r="A16" s="5" t="s">
        <v>266</v>
      </c>
      <c r="B16" s="6">
        <v>10113</v>
      </c>
      <c r="C16" s="6" t="s">
        <v>5</v>
      </c>
      <c r="D16" s="6">
        <v>1</v>
      </c>
      <c r="E16" s="6" t="s">
        <v>1</v>
      </c>
      <c r="F16" s="6">
        <v>11</v>
      </c>
      <c r="G16" s="5" t="s">
        <v>11</v>
      </c>
      <c r="H16" s="6" t="s">
        <v>202</v>
      </c>
      <c r="I16" s="6">
        <v>2022</v>
      </c>
      <c r="J16" s="6" t="s">
        <v>180</v>
      </c>
      <c r="K16" s="6">
        <v>2</v>
      </c>
      <c r="L16" s="46">
        <v>34661.410000000003</v>
      </c>
    </row>
    <row r="17" spans="1:12" ht="13.9" customHeight="1" x14ac:dyDescent="0.25">
      <c r="A17" s="5" t="s">
        <v>266</v>
      </c>
      <c r="B17" s="17">
        <v>10113</v>
      </c>
      <c r="C17" s="17" t="s">
        <v>5</v>
      </c>
      <c r="D17" s="17">
        <v>1</v>
      </c>
      <c r="E17" s="17" t="s">
        <v>1</v>
      </c>
      <c r="F17" s="17">
        <v>11</v>
      </c>
      <c r="G17" s="16" t="s">
        <v>12</v>
      </c>
      <c r="H17" s="17" t="s">
        <v>205</v>
      </c>
      <c r="I17" s="17">
        <v>2022</v>
      </c>
      <c r="J17" s="17" t="s">
        <v>180</v>
      </c>
      <c r="K17" s="17">
        <v>2</v>
      </c>
      <c r="L17" s="47">
        <v>28943.03</v>
      </c>
    </row>
    <row r="18" spans="1:12" ht="13.9" customHeight="1" x14ac:dyDescent="0.25">
      <c r="A18" s="5" t="s">
        <v>266</v>
      </c>
      <c r="B18" s="6">
        <v>10113</v>
      </c>
      <c r="C18" s="6" t="s">
        <v>5</v>
      </c>
      <c r="D18" s="6">
        <v>1</v>
      </c>
      <c r="E18" s="6" t="s">
        <v>1</v>
      </c>
      <c r="F18" s="6">
        <v>11</v>
      </c>
      <c r="G18" s="5" t="s">
        <v>18</v>
      </c>
      <c r="H18" s="6" t="s">
        <v>203</v>
      </c>
      <c r="I18" s="6">
        <v>2022</v>
      </c>
      <c r="J18" s="6" t="s">
        <v>180</v>
      </c>
      <c r="K18" s="6">
        <v>2</v>
      </c>
      <c r="L18" s="46">
        <v>6540.79</v>
      </c>
    </row>
    <row r="19" spans="1:12" ht="13.9" customHeight="1" x14ac:dyDescent="0.25">
      <c r="A19" s="5" t="s">
        <v>266</v>
      </c>
      <c r="B19" s="17">
        <v>10113</v>
      </c>
      <c r="C19" s="17" t="s">
        <v>5</v>
      </c>
      <c r="D19" s="17">
        <v>1</v>
      </c>
      <c r="E19" s="17" t="s">
        <v>3</v>
      </c>
      <c r="F19" s="17">
        <v>12</v>
      </c>
      <c r="G19" s="16" t="s">
        <v>8</v>
      </c>
      <c r="H19" s="17" t="s">
        <v>206</v>
      </c>
      <c r="I19" s="17">
        <v>2022</v>
      </c>
      <c r="J19" s="17" t="s">
        <v>180</v>
      </c>
      <c r="K19" s="17">
        <v>2</v>
      </c>
      <c r="L19" s="47">
        <v>14347.35</v>
      </c>
    </row>
    <row r="20" spans="1:12" ht="13.9" customHeight="1" x14ac:dyDescent="0.25">
      <c r="A20" s="5" t="s">
        <v>266</v>
      </c>
      <c r="B20" s="6">
        <v>10113</v>
      </c>
      <c r="C20" s="6" t="s">
        <v>20</v>
      </c>
      <c r="D20" s="6">
        <v>2</v>
      </c>
      <c r="E20" s="6" t="s">
        <v>4</v>
      </c>
      <c r="F20" s="6">
        <v>21</v>
      </c>
      <c r="G20" s="5" t="s">
        <v>13</v>
      </c>
      <c r="H20" s="6" t="s">
        <v>204</v>
      </c>
      <c r="I20" s="6">
        <v>2022</v>
      </c>
      <c r="J20" s="6" t="s">
        <v>180</v>
      </c>
      <c r="K20" s="6">
        <v>2</v>
      </c>
      <c r="L20" s="46">
        <v>516439.26</v>
      </c>
    </row>
    <row r="21" spans="1:12" ht="13.9" customHeight="1" x14ac:dyDescent="0.25">
      <c r="A21" s="5" t="s">
        <v>266</v>
      </c>
      <c r="B21" s="17">
        <v>10113</v>
      </c>
      <c r="C21" s="17" t="s">
        <v>20</v>
      </c>
      <c r="D21" s="17">
        <v>2</v>
      </c>
      <c r="E21" s="17" t="s">
        <v>4</v>
      </c>
      <c r="F21" s="17">
        <v>21</v>
      </c>
      <c r="G21" s="16" t="s">
        <v>14</v>
      </c>
      <c r="H21" s="17" t="s">
        <v>207</v>
      </c>
      <c r="I21" s="17">
        <v>2022</v>
      </c>
      <c r="J21" s="17" t="s">
        <v>180</v>
      </c>
      <c r="K21" s="17">
        <v>2</v>
      </c>
      <c r="L21" s="47">
        <v>49006.720000000001</v>
      </c>
    </row>
    <row r="22" spans="1:12" ht="13.9" customHeight="1" x14ac:dyDescent="0.25">
      <c r="A22" s="5" t="s">
        <v>266</v>
      </c>
      <c r="B22" s="6">
        <v>10113</v>
      </c>
      <c r="C22" s="6" t="s">
        <v>5</v>
      </c>
      <c r="D22" s="6">
        <v>1</v>
      </c>
      <c r="E22" s="6" t="s">
        <v>1</v>
      </c>
      <c r="F22" s="6">
        <v>11</v>
      </c>
      <c r="G22" s="5" t="s">
        <v>6</v>
      </c>
      <c r="H22" s="6" t="s">
        <v>199</v>
      </c>
      <c r="I22" s="6">
        <v>2022</v>
      </c>
      <c r="J22" s="6" t="s">
        <v>181</v>
      </c>
      <c r="K22" s="6">
        <v>3</v>
      </c>
      <c r="L22" s="50">
        <v>308384.58</v>
      </c>
    </row>
    <row r="23" spans="1:12" ht="13.9" customHeight="1" x14ac:dyDescent="0.25">
      <c r="A23" s="5" t="s">
        <v>266</v>
      </c>
      <c r="B23" s="17">
        <v>10113</v>
      </c>
      <c r="C23" s="17" t="s">
        <v>5</v>
      </c>
      <c r="D23" s="17">
        <v>1</v>
      </c>
      <c r="E23" s="17" t="s">
        <v>1</v>
      </c>
      <c r="F23" s="17">
        <v>11</v>
      </c>
      <c r="G23" s="16" t="s">
        <v>9</v>
      </c>
      <c r="H23" s="17" t="s">
        <v>200</v>
      </c>
      <c r="I23" s="17">
        <v>2022</v>
      </c>
      <c r="J23" s="17" t="s">
        <v>181</v>
      </c>
      <c r="K23" s="17">
        <v>3</v>
      </c>
      <c r="L23" s="47">
        <v>12327</v>
      </c>
    </row>
    <row r="24" spans="1:12" ht="13.9" customHeight="1" x14ac:dyDescent="0.25">
      <c r="A24" s="5" t="s">
        <v>266</v>
      </c>
      <c r="B24" s="6">
        <v>10113</v>
      </c>
      <c r="C24" s="6" t="s">
        <v>5</v>
      </c>
      <c r="D24" s="6">
        <v>1</v>
      </c>
      <c r="E24" s="6" t="s">
        <v>1</v>
      </c>
      <c r="F24" s="6">
        <v>11</v>
      </c>
      <c r="G24" s="5" t="s">
        <v>7</v>
      </c>
      <c r="H24" s="6" t="s">
        <v>201</v>
      </c>
      <c r="I24" s="6">
        <v>2022</v>
      </c>
      <c r="J24" s="6" t="s">
        <v>181</v>
      </c>
      <c r="K24" s="6">
        <v>3</v>
      </c>
      <c r="L24" s="46">
        <v>22308.720000000001</v>
      </c>
    </row>
    <row r="25" spans="1:12" ht="13.9" customHeight="1" x14ac:dyDescent="0.25">
      <c r="A25" s="5" t="s">
        <v>266</v>
      </c>
      <c r="B25" s="17">
        <v>10113</v>
      </c>
      <c r="C25" s="17" t="s">
        <v>5</v>
      </c>
      <c r="D25" s="17">
        <v>1</v>
      </c>
      <c r="E25" s="17" t="s">
        <v>1</v>
      </c>
      <c r="F25" s="17">
        <v>11</v>
      </c>
      <c r="G25" s="16" t="s">
        <v>10</v>
      </c>
      <c r="H25" s="17" t="s">
        <v>199</v>
      </c>
      <c r="I25" s="17">
        <v>2022</v>
      </c>
      <c r="J25" s="17" t="s">
        <v>181</v>
      </c>
      <c r="K25" s="17">
        <v>3</v>
      </c>
      <c r="L25" s="47">
        <v>16178.06</v>
      </c>
    </row>
    <row r="26" spans="1:12" ht="13.9" customHeight="1" x14ac:dyDescent="0.25">
      <c r="A26" s="5" t="s">
        <v>266</v>
      </c>
      <c r="B26" s="6">
        <v>10113</v>
      </c>
      <c r="C26" s="6" t="s">
        <v>5</v>
      </c>
      <c r="D26" s="6">
        <v>1</v>
      </c>
      <c r="E26" s="6" t="s">
        <v>1</v>
      </c>
      <c r="F26" s="6">
        <v>11</v>
      </c>
      <c r="G26" s="5" t="s">
        <v>11</v>
      </c>
      <c r="H26" s="6" t="s">
        <v>202</v>
      </c>
      <c r="I26" s="6">
        <v>2022</v>
      </c>
      <c r="J26" s="6" t="s">
        <v>181</v>
      </c>
      <c r="K26" s="6">
        <v>3</v>
      </c>
      <c r="L26" s="46">
        <v>36463.81</v>
      </c>
    </row>
    <row r="27" spans="1:12" ht="13.9" customHeight="1" x14ac:dyDescent="0.25">
      <c r="A27" s="5" t="s">
        <v>266</v>
      </c>
      <c r="B27" s="17">
        <v>10113</v>
      </c>
      <c r="C27" s="17" t="s">
        <v>5</v>
      </c>
      <c r="D27" s="17">
        <v>1</v>
      </c>
      <c r="E27" s="17" t="s">
        <v>1</v>
      </c>
      <c r="F27" s="17">
        <v>11</v>
      </c>
      <c r="G27" s="16" t="s">
        <v>12</v>
      </c>
      <c r="H27" s="17" t="s">
        <v>205</v>
      </c>
      <c r="I27" s="17">
        <v>2022</v>
      </c>
      <c r="J27" s="17" t="s">
        <v>181</v>
      </c>
      <c r="K27" s="17">
        <v>3</v>
      </c>
      <c r="L27" s="47">
        <v>30448.06</v>
      </c>
    </row>
    <row r="28" spans="1:12" ht="13.9" customHeight="1" x14ac:dyDescent="0.25">
      <c r="A28" s="5" t="s">
        <v>266</v>
      </c>
      <c r="B28" s="6">
        <v>10113</v>
      </c>
      <c r="C28" s="6" t="s">
        <v>5</v>
      </c>
      <c r="D28" s="6">
        <v>1</v>
      </c>
      <c r="E28" s="6" t="s">
        <v>1</v>
      </c>
      <c r="F28" s="6">
        <v>11</v>
      </c>
      <c r="G28" s="5" t="s">
        <v>18</v>
      </c>
      <c r="H28" s="6" t="s">
        <v>203</v>
      </c>
      <c r="I28" s="6">
        <v>2022</v>
      </c>
      <c r="J28" s="6" t="s">
        <v>181</v>
      </c>
      <c r="K28" s="6">
        <v>3</v>
      </c>
      <c r="L28" s="46">
        <v>6880.9</v>
      </c>
    </row>
    <row r="29" spans="1:12" ht="13.9" customHeight="1" x14ac:dyDescent="0.25">
      <c r="A29" s="5" t="s">
        <v>266</v>
      </c>
      <c r="B29" s="17">
        <v>10113</v>
      </c>
      <c r="C29" s="17" t="s">
        <v>5</v>
      </c>
      <c r="D29" s="17">
        <v>1</v>
      </c>
      <c r="E29" s="17" t="s">
        <v>3</v>
      </c>
      <c r="F29" s="17">
        <v>12</v>
      </c>
      <c r="G29" s="16" t="s">
        <v>8</v>
      </c>
      <c r="H29" s="17" t="s">
        <v>206</v>
      </c>
      <c r="I29" s="17">
        <v>2022</v>
      </c>
      <c r="J29" s="17" t="s">
        <v>181</v>
      </c>
      <c r="K29" s="17">
        <v>3</v>
      </c>
      <c r="L29" s="47">
        <v>15093.42</v>
      </c>
    </row>
    <row r="30" spans="1:12" ht="13.9" customHeight="1" x14ac:dyDescent="0.25">
      <c r="A30" s="5" t="s">
        <v>266</v>
      </c>
      <c r="B30" s="6">
        <v>10113</v>
      </c>
      <c r="C30" s="6" t="s">
        <v>20</v>
      </c>
      <c r="D30" s="6">
        <v>2</v>
      </c>
      <c r="E30" s="6" t="s">
        <v>4</v>
      </c>
      <c r="F30" s="6">
        <v>21</v>
      </c>
      <c r="G30" s="5" t="s">
        <v>13</v>
      </c>
      <c r="H30" s="6" t="s">
        <v>204</v>
      </c>
      <c r="I30" s="6">
        <v>2022</v>
      </c>
      <c r="J30" s="6" t="s">
        <v>181</v>
      </c>
      <c r="K30" s="6">
        <v>3</v>
      </c>
      <c r="L30" s="46">
        <v>642939.26</v>
      </c>
    </row>
    <row r="31" spans="1:12" ht="13.9" customHeight="1" x14ac:dyDescent="0.25">
      <c r="A31" s="5" t="s">
        <v>266</v>
      </c>
      <c r="B31" s="17">
        <v>10113</v>
      </c>
      <c r="C31" s="17" t="s">
        <v>20</v>
      </c>
      <c r="D31" s="17">
        <v>2</v>
      </c>
      <c r="E31" s="17" t="s">
        <v>4</v>
      </c>
      <c r="F31" s="17">
        <v>21</v>
      </c>
      <c r="G31" s="16" t="s">
        <v>14</v>
      </c>
      <c r="H31" s="17" t="s">
        <v>207</v>
      </c>
      <c r="I31" s="17">
        <v>2022</v>
      </c>
      <c r="J31" s="17" t="s">
        <v>181</v>
      </c>
      <c r="K31" s="17">
        <v>3</v>
      </c>
      <c r="L31" s="47">
        <v>67406.720000000001</v>
      </c>
    </row>
    <row r="32" spans="1:12" ht="13.9" customHeight="1" x14ac:dyDescent="0.25">
      <c r="A32" s="5" t="s">
        <v>266</v>
      </c>
      <c r="B32" s="6">
        <v>10113</v>
      </c>
      <c r="C32" s="6" t="s">
        <v>5</v>
      </c>
      <c r="D32" s="6">
        <v>1</v>
      </c>
      <c r="E32" s="6" t="s">
        <v>1</v>
      </c>
      <c r="F32" s="6">
        <v>11</v>
      </c>
      <c r="G32" s="5" t="s">
        <v>6</v>
      </c>
      <c r="H32" s="6" t="s">
        <v>199</v>
      </c>
      <c r="I32" s="6">
        <v>2022</v>
      </c>
      <c r="J32" s="6" t="s">
        <v>208</v>
      </c>
      <c r="K32" s="6">
        <v>4</v>
      </c>
      <c r="L32" s="46">
        <v>323803.8</v>
      </c>
    </row>
    <row r="33" spans="1:12" ht="13.9" customHeight="1" x14ac:dyDescent="0.25">
      <c r="A33" s="5" t="s">
        <v>266</v>
      </c>
      <c r="B33" s="17">
        <v>10113</v>
      </c>
      <c r="C33" s="17" t="s">
        <v>5</v>
      </c>
      <c r="D33" s="17">
        <v>1</v>
      </c>
      <c r="E33" s="17" t="s">
        <v>1</v>
      </c>
      <c r="F33" s="17">
        <v>11</v>
      </c>
      <c r="G33" s="16" t="s">
        <v>9</v>
      </c>
      <c r="H33" s="17" t="s">
        <v>200</v>
      </c>
      <c r="I33" s="17">
        <v>2022</v>
      </c>
      <c r="J33" s="17" t="s">
        <v>208</v>
      </c>
      <c r="K33" s="17">
        <v>4</v>
      </c>
      <c r="L33" s="47">
        <v>12943.35</v>
      </c>
    </row>
    <row r="34" spans="1:12" ht="13.9" customHeight="1" x14ac:dyDescent="0.25">
      <c r="A34" s="5" t="s">
        <v>266</v>
      </c>
      <c r="B34" s="6">
        <v>10113</v>
      </c>
      <c r="C34" s="6" t="s">
        <v>5</v>
      </c>
      <c r="D34" s="6">
        <v>1</v>
      </c>
      <c r="E34" s="6" t="s">
        <v>1</v>
      </c>
      <c r="F34" s="6">
        <v>11</v>
      </c>
      <c r="G34" s="5" t="s">
        <v>7</v>
      </c>
      <c r="H34" s="6" t="s">
        <v>201</v>
      </c>
      <c r="I34" s="6">
        <v>2022</v>
      </c>
      <c r="J34" s="6" t="s">
        <v>208</v>
      </c>
      <c r="K34" s="6">
        <v>4</v>
      </c>
      <c r="L34" s="46">
        <v>23424.17</v>
      </c>
    </row>
    <row r="35" spans="1:12" ht="13.9" customHeight="1" x14ac:dyDescent="0.25">
      <c r="A35" s="5" t="s">
        <v>266</v>
      </c>
      <c r="B35" s="17">
        <v>10113</v>
      </c>
      <c r="C35" s="17" t="s">
        <v>5</v>
      </c>
      <c r="D35" s="17">
        <v>1</v>
      </c>
      <c r="E35" s="17" t="s">
        <v>1</v>
      </c>
      <c r="F35" s="17">
        <v>11</v>
      </c>
      <c r="G35" s="16" t="s">
        <v>10</v>
      </c>
      <c r="H35" s="17" t="s">
        <v>199</v>
      </c>
      <c r="I35" s="17">
        <v>2022</v>
      </c>
      <c r="J35" s="17" t="s">
        <v>208</v>
      </c>
      <c r="K35" s="17">
        <v>4</v>
      </c>
      <c r="L35" s="47">
        <v>16986.97</v>
      </c>
    </row>
    <row r="36" spans="1:12" ht="13.9" customHeight="1" x14ac:dyDescent="0.25">
      <c r="A36" s="5" t="s">
        <v>266</v>
      </c>
      <c r="B36" s="6">
        <v>10113</v>
      </c>
      <c r="C36" s="6" t="s">
        <v>5</v>
      </c>
      <c r="D36" s="6">
        <v>1</v>
      </c>
      <c r="E36" s="6" t="s">
        <v>1</v>
      </c>
      <c r="F36" s="6">
        <v>11</v>
      </c>
      <c r="G36" s="5" t="s">
        <v>11</v>
      </c>
      <c r="H36" s="6" t="s">
        <v>202</v>
      </c>
      <c r="I36" s="6">
        <v>2022</v>
      </c>
      <c r="J36" s="6" t="s">
        <v>208</v>
      </c>
      <c r="K36" s="6">
        <v>4</v>
      </c>
      <c r="L36" s="46">
        <v>38287</v>
      </c>
    </row>
    <row r="37" spans="1:12" ht="13.9" customHeight="1" x14ac:dyDescent="0.25">
      <c r="A37" s="5" t="s">
        <v>266</v>
      </c>
      <c r="B37" s="17">
        <v>10113</v>
      </c>
      <c r="C37" s="17" t="s">
        <v>5</v>
      </c>
      <c r="D37" s="17">
        <v>1</v>
      </c>
      <c r="E37" s="17" t="s">
        <v>1</v>
      </c>
      <c r="F37" s="17">
        <v>11</v>
      </c>
      <c r="G37" s="16" t="s">
        <v>12</v>
      </c>
      <c r="H37" s="17" t="s">
        <v>205</v>
      </c>
      <c r="I37" s="17">
        <v>2022</v>
      </c>
      <c r="J37" s="17" t="s">
        <v>208</v>
      </c>
      <c r="K37" s="17">
        <v>4</v>
      </c>
      <c r="L37" s="47">
        <v>31970.46</v>
      </c>
    </row>
    <row r="38" spans="1:12" ht="13.9" customHeight="1" x14ac:dyDescent="0.25">
      <c r="A38" s="5" t="s">
        <v>266</v>
      </c>
      <c r="B38" s="6">
        <v>10113</v>
      </c>
      <c r="C38" s="6" t="s">
        <v>5</v>
      </c>
      <c r="D38" s="6">
        <v>1</v>
      </c>
      <c r="E38" s="6" t="s">
        <v>1</v>
      </c>
      <c r="F38" s="6">
        <v>11</v>
      </c>
      <c r="G38" s="5" t="s">
        <v>18</v>
      </c>
      <c r="H38" s="6" t="s">
        <v>203</v>
      </c>
      <c r="I38" s="6">
        <v>2022</v>
      </c>
      <c r="J38" s="6" t="s">
        <v>208</v>
      </c>
      <c r="K38" s="6">
        <v>4</v>
      </c>
      <c r="L38" s="46">
        <v>7224.94</v>
      </c>
    </row>
    <row r="39" spans="1:12" ht="13.9" customHeight="1" x14ac:dyDescent="0.25">
      <c r="A39" s="5" t="s">
        <v>266</v>
      </c>
      <c r="B39" s="17">
        <v>10113</v>
      </c>
      <c r="C39" s="17" t="s">
        <v>5</v>
      </c>
      <c r="D39" s="17">
        <v>1</v>
      </c>
      <c r="E39" s="17" t="s">
        <v>3</v>
      </c>
      <c r="F39" s="17">
        <v>12</v>
      </c>
      <c r="G39" s="16" t="s">
        <v>8</v>
      </c>
      <c r="H39" s="17" t="s">
        <v>206</v>
      </c>
      <c r="I39" s="17">
        <v>2022</v>
      </c>
      <c r="J39" s="17" t="s">
        <v>208</v>
      </c>
      <c r="K39" s="17">
        <v>4</v>
      </c>
      <c r="L39" s="47">
        <v>15848.08</v>
      </c>
    </row>
    <row r="40" spans="1:12" ht="13.9" customHeight="1" x14ac:dyDescent="0.25">
      <c r="A40" s="5" t="s">
        <v>266</v>
      </c>
      <c r="B40" s="6">
        <v>10113</v>
      </c>
      <c r="C40" s="6" t="s">
        <v>20</v>
      </c>
      <c r="D40" s="6">
        <v>2</v>
      </c>
      <c r="E40" s="6" t="s">
        <v>4</v>
      </c>
      <c r="F40" s="6">
        <v>21</v>
      </c>
      <c r="G40" s="5" t="s">
        <v>13</v>
      </c>
      <c r="H40" s="6" t="s">
        <v>204</v>
      </c>
      <c r="I40" s="6">
        <v>2022</v>
      </c>
      <c r="J40" s="6" t="s">
        <v>208</v>
      </c>
      <c r="K40" s="6">
        <v>4</v>
      </c>
      <c r="L40" s="46">
        <v>380680.71</v>
      </c>
    </row>
    <row r="41" spans="1:12" ht="13.9" customHeight="1" x14ac:dyDescent="0.25">
      <c r="A41" s="5" t="s">
        <v>266</v>
      </c>
      <c r="B41" s="17">
        <v>10113</v>
      </c>
      <c r="C41" s="17" t="s">
        <v>20</v>
      </c>
      <c r="D41" s="17">
        <v>2</v>
      </c>
      <c r="E41" s="17" t="s">
        <v>4</v>
      </c>
      <c r="F41" s="17">
        <v>21</v>
      </c>
      <c r="G41" s="16" t="s">
        <v>14</v>
      </c>
      <c r="H41" s="17" t="s">
        <v>207</v>
      </c>
      <c r="I41" s="17">
        <v>2022</v>
      </c>
      <c r="J41" s="17" t="s">
        <v>208</v>
      </c>
      <c r="K41" s="17">
        <v>4</v>
      </c>
      <c r="L41" s="47">
        <v>67406.720000000001</v>
      </c>
    </row>
    <row r="42" spans="1:12" ht="13.9" customHeight="1" x14ac:dyDescent="0.25">
      <c r="A42" s="5" t="s">
        <v>266</v>
      </c>
      <c r="B42" s="6">
        <v>10113</v>
      </c>
      <c r="C42" s="6" t="s">
        <v>5</v>
      </c>
      <c r="D42" s="6">
        <v>1</v>
      </c>
      <c r="E42" s="6" t="s">
        <v>1</v>
      </c>
      <c r="F42" s="6">
        <v>11</v>
      </c>
      <c r="G42" s="5" t="s">
        <v>6</v>
      </c>
      <c r="H42" s="6" t="s">
        <v>199</v>
      </c>
      <c r="I42" s="6">
        <v>2022</v>
      </c>
      <c r="J42" s="6" t="s">
        <v>212</v>
      </c>
      <c r="K42" s="6">
        <v>5</v>
      </c>
      <c r="L42" s="46">
        <v>326887.65000000002</v>
      </c>
    </row>
    <row r="43" spans="1:12" ht="13.9" customHeight="1" x14ac:dyDescent="0.25">
      <c r="A43" s="5" t="s">
        <v>266</v>
      </c>
      <c r="B43" s="17">
        <v>10113</v>
      </c>
      <c r="C43" s="17" t="s">
        <v>5</v>
      </c>
      <c r="D43" s="17">
        <v>1</v>
      </c>
      <c r="E43" s="17" t="s">
        <v>1</v>
      </c>
      <c r="F43" s="17">
        <v>11</v>
      </c>
      <c r="G43" s="16" t="s">
        <v>9</v>
      </c>
      <c r="H43" s="17" t="s">
        <v>200</v>
      </c>
      <c r="I43" s="17">
        <v>2022</v>
      </c>
      <c r="J43" s="17" t="s">
        <v>212</v>
      </c>
      <c r="K43" s="17">
        <v>5</v>
      </c>
      <c r="L43" s="47">
        <v>12327</v>
      </c>
    </row>
    <row r="44" spans="1:12" ht="13.9" customHeight="1" x14ac:dyDescent="0.25">
      <c r="A44" s="5" t="s">
        <v>266</v>
      </c>
      <c r="B44" s="6">
        <v>10113</v>
      </c>
      <c r="C44" s="6" t="s">
        <v>5</v>
      </c>
      <c r="D44" s="6">
        <v>1</v>
      </c>
      <c r="E44" s="6" t="s">
        <v>1</v>
      </c>
      <c r="F44" s="6">
        <v>11</v>
      </c>
      <c r="G44" s="5" t="s">
        <v>7</v>
      </c>
      <c r="H44" s="6" t="s">
        <v>201</v>
      </c>
      <c r="I44" s="6">
        <v>2022</v>
      </c>
      <c r="J44" s="6" t="s">
        <v>212</v>
      </c>
      <c r="K44" s="6">
        <v>5</v>
      </c>
      <c r="L44" s="46">
        <v>22308.720000000001</v>
      </c>
    </row>
    <row r="45" spans="1:12" ht="13.9" customHeight="1" x14ac:dyDescent="0.25">
      <c r="A45" s="5" t="s">
        <v>266</v>
      </c>
      <c r="B45" s="17">
        <v>10113</v>
      </c>
      <c r="C45" s="17" t="s">
        <v>5</v>
      </c>
      <c r="D45" s="17">
        <v>1</v>
      </c>
      <c r="E45" s="17" t="s">
        <v>1</v>
      </c>
      <c r="F45" s="17">
        <v>11</v>
      </c>
      <c r="G45" s="16" t="s">
        <v>10</v>
      </c>
      <c r="H45" s="17" t="s">
        <v>199</v>
      </c>
      <c r="I45" s="17">
        <v>2022</v>
      </c>
      <c r="J45" s="17" t="s">
        <v>212</v>
      </c>
      <c r="K45" s="17">
        <v>5</v>
      </c>
      <c r="L45" s="47">
        <v>16178.06</v>
      </c>
    </row>
    <row r="46" spans="1:12" ht="13.9" customHeight="1" x14ac:dyDescent="0.25">
      <c r="A46" s="5" t="s">
        <v>266</v>
      </c>
      <c r="B46" s="6">
        <v>10113</v>
      </c>
      <c r="C46" s="6" t="s">
        <v>5</v>
      </c>
      <c r="D46" s="6">
        <v>1</v>
      </c>
      <c r="E46" s="6" t="s">
        <v>1</v>
      </c>
      <c r="F46" s="6">
        <v>11</v>
      </c>
      <c r="G46" s="5" t="s">
        <v>11</v>
      </c>
      <c r="H46" s="6" t="s">
        <v>202</v>
      </c>
      <c r="I46" s="6">
        <v>2022</v>
      </c>
      <c r="J46" s="6" t="s">
        <v>212</v>
      </c>
      <c r="K46" s="6">
        <v>5</v>
      </c>
      <c r="L46" s="46">
        <v>36463.81</v>
      </c>
    </row>
    <row r="47" spans="1:12" ht="13.9" customHeight="1" x14ac:dyDescent="0.25">
      <c r="A47" s="5" t="s">
        <v>266</v>
      </c>
      <c r="B47" s="17">
        <v>10113</v>
      </c>
      <c r="C47" s="17" t="s">
        <v>5</v>
      </c>
      <c r="D47" s="17">
        <v>1</v>
      </c>
      <c r="E47" s="17" t="s">
        <v>1</v>
      </c>
      <c r="F47" s="17">
        <v>11</v>
      </c>
      <c r="G47" s="16" t="s">
        <v>12</v>
      </c>
      <c r="H47" s="17" t="s">
        <v>205</v>
      </c>
      <c r="I47" s="17">
        <v>2022</v>
      </c>
      <c r="J47" s="17" t="s">
        <v>212</v>
      </c>
      <c r="K47" s="17">
        <v>5</v>
      </c>
      <c r="L47" s="47">
        <v>31665.99</v>
      </c>
    </row>
    <row r="48" spans="1:12" ht="13.9" customHeight="1" x14ac:dyDescent="0.25">
      <c r="A48" s="5" t="s">
        <v>266</v>
      </c>
      <c r="B48" s="6">
        <v>10113</v>
      </c>
      <c r="C48" s="6" t="s">
        <v>5</v>
      </c>
      <c r="D48" s="6">
        <v>1</v>
      </c>
      <c r="E48" s="6" t="s">
        <v>1</v>
      </c>
      <c r="F48" s="6">
        <v>11</v>
      </c>
      <c r="G48" s="5" t="s">
        <v>18</v>
      </c>
      <c r="H48" s="6" t="s">
        <v>203</v>
      </c>
      <c r="I48" s="6">
        <v>2022</v>
      </c>
      <c r="J48" s="6" t="s">
        <v>212</v>
      </c>
      <c r="K48" s="6">
        <v>5</v>
      </c>
      <c r="L48" s="46">
        <v>6880.9</v>
      </c>
    </row>
    <row r="49" spans="1:12" ht="13.9" customHeight="1" x14ac:dyDescent="0.25">
      <c r="A49" s="5" t="s">
        <v>266</v>
      </c>
      <c r="B49" s="17">
        <v>10113</v>
      </c>
      <c r="C49" s="17" t="s">
        <v>5</v>
      </c>
      <c r="D49" s="17">
        <v>1</v>
      </c>
      <c r="E49" s="17" t="s">
        <v>3</v>
      </c>
      <c r="F49" s="17">
        <v>12</v>
      </c>
      <c r="G49" s="16" t="s">
        <v>8</v>
      </c>
      <c r="H49" s="17" t="s">
        <v>206</v>
      </c>
      <c r="I49" s="17">
        <v>2022</v>
      </c>
      <c r="J49" s="17" t="s">
        <v>212</v>
      </c>
      <c r="K49" s="17">
        <v>5</v>
      </c>
      <c r="L49" s="47">
        <v>172500</v>
      </c>
    </row>
    <row r="50" spans="1:12" ht="13.9" customHeight="1" x14ac:dyDescent="0.25">
      <c r="A50" s="5" t="s">
        <v>266</v>
      </c>
      <c r="B50" s="6">
        <v>10113</v>
      </c>
      <c r="C50" s="6" t="s">
        <v>20</v>
      </c>
      <c r="D50" s="6">
        <v>2</v>
      </c>
      <c r="E50" s="6" t="s">
        <v>4</v>
      </c>
      <c r="F50" s="6">
        <v>21</v>
      </c>
      <c r="G50" s="5" t="s">
        <v>13</v>
      </c>
      <c r="H50" s="6" t="s">
        <v>204</v>
      </c>
      <c r="I50" s="6">
        <v>2022</v>
      </c>
      <c r="J50" s="6" t="s">
        <v>212</v>
      </c>
      <c r="K50" s="6">
        <v>5</v>
      </c>
      <c r="L50" s="46">
        <v>613327.93000000005</v>
      </c>
    </row>
    <row r="51" spans="1:12" ht="13.9" customHeight="1" x14ac:dyDescent="0.25">
      <c r="A51" s="5" t="s">
        <v>266</v>
      </c>
      <c r="B51" s="17">
        <v>10113</v>
      </c>
      <c r="C51" s="17" t="s">
        <v>20</v>
      </c>
      <c r="D51" s="17">
        <v>2</v>
      </c>
      <c r="E51" s="17" t="s">
        <v>4</v>
      </c>
      <c r="F51" s="17">
        <v>21</v>
      </c>
      <c r="G51" s="16" t="s">
        <v>14</v>
      </c>
      <c r="H51" s="17" t="s">
        <v>207</v>
      </c>
      <c r="I51" s="17">
        <v>2022</v>
      </c>
      <c r="J51" s="17" t="s">
        <v>212</v>
      </c>
      <c r="K51" s="17">
        <v>5</v>
      </c>
      <c r="L51" s="17">
        <v>67406.720000000001</v>
      </c>
    </row>
    <row r="52" spans="1:12" ht="13.9" customHeight="1" x14ac:dyDescent="0.25">
      <c r="A52" s="5" t="s">
        <v>266</v>
      </c>
      <c r="B52" s="6">
        <v>10113</v>
      </c>
      <c r="C52" s="6" t="s">
        <v>5</v>
      </c>
      <c r="D52" s="6">
        <v>1</v>
      </c>
      <c r="E52" s="6" t="s">
        <v>1</v>
      </c>
      <c r="F52" s="6">
        <v>11</v>
      </c>
      <c r="G52" s="5" t="s">
        <v>6</v>
      </c>
      <c r="H52" s="6" t="s">
        <v>199</v>
      </c>
      <c r="I52" s="6">
        <v>2022</v>
      </c>
      <c r="J52" s="6" t="s">
        <v>228</v>
      </c>
      <c r="K52" s="6">
        <v>6</v>
      </c>
      <c r="L52" s="46">
        <v>292744.58</v>
      </c>
    </row>
    <row r="53" spans="1:12" ht="13.9" customHeight="1" x14ac:dyDescent="0.25">
      <c r="A53" s="5" t="s">
        <v>266</v>
      </c>
      <c r="B53" s="17">
        <v>10113</v>
      </c>
      <c r="C53" s="17" t="s">
        <v>5</v>
      </c>
      <c r="D53" s="17">
        <v>1</v>
      </c>
      <c r="E53" s="17" t="s">
        <v>1</v>
      </c>
      <c r="F53" s="17">
        <v>11</v>
      </c>
      <c r="G53" s="16" t="s">
        <v>9</v>
      </c>
      <c r="H53" s="17" t="s">
        <v>200</v>
      </c>
      <c r="I53" s="17">
        <v>2022</v>
      </c>
      <c r="J53" s="17" t="s">
        <v>228</v>
      </c>
      <c r="K53" s="17">
        <v>6</v>
      </c>
      <c r="L53" s="47">
        <v>11717.67</v>
      </c>
    </row>
    <row r="54" spans="1:12" ht="13.9" customHeight="1" x14ac:dyDescent="0.25">
      <c r="A54" s="5" t="s">
        <v>266</v>
      </c>
      <c r="B54" s="6">
        <v>10113</v>
      </c>
      <c r="C54" s="6" t="s">
        <v>5</v>
      </c>
      <c r="D54" s="6">
        <v>1</v>
      </c>
      <c r="E54" s="6" t="s">
        <v>1</v>
      </c>
      <c r="F54" s="6">
        <v>11</v>
      </c>
      <c r="G54" s="5" t="s">
        <v>7</v>
      </c>
      <c r="H54" s="6" t="s">
        <v>201</v>
      </c>
      <c r="I54" s="6">
        <v>2022</v>
      </c>
      <c r="J54" s="6" t="s">
        <v>228</v>
      </c>
      <c r="K54" s="6">
        <v>6</v>
      </c>
      <c r="L54" s="50">
        <v>21206.02</v>
      </c>
    </row>
    <row r="55" spans="1:12" ht="13.9" customHeight="1" x14ac:dyDescent="0.25">
      <c r="A55" s="5" t="s">
        <v>266</v>
      </c>
      <c r="B55" s="17">
        <v>10113</v>
      </c>
      <c r="C55" s="17" t="s">
        <v>5</v>
      </c>
      <c r="D55" s="17">
        <v>1</v>
      </c>
      <c r="E55" s="17" t="s">
        <v>1</v>
      </c>
      <c r="F55" s="17">
        <v>11</v>
      </c>
      <c r="G55" s="16" t="s">
        <v>10</v>
      </c>
      <c r="H55" s="17" t="s">
        <v>199</v>
      </c>
      <c r="I55" s="17">
        <v>2022</v>
      </c>
      <c r="J55" s="17" t="s">
        <v>228</v>
      </c>
      <c r="K55" s="17">
        <v>6</v>
      </c>
      <c r="L55" s="17">
        <v>15378.4</v>
      </c>
    </row>
    <row r="56" spans="1:12" ht="13.9" customHeight="1" x14ac:dyDescent="0.25">
      <c r="A56" s="5" t="s">
        <v>266</v>
      </c>
      <c r="B56" s="6">
        <v>10113</v>
      </c>
      <c r="C56" s="6" t="s">
        <v>5</v>
      </c>
      <c r="D56" s="6">
        <v>1</v>
      </c>
      <c r="E56" s="6" t="s">
        <v>1</v>
      </c>
      <c r="F56" s="6">
        <v>11</v>
      </c>
      <c r="G56" s="5" t="s">
        <v>11</v>
      </c>
      <c r="H56" s="6" t="s">
        <v>202</v>
      </c>
      <c r="I56" s="6">
        <v>2022</v>
      </c>
      <c r="J56" s="6" t="s">
        <v>228</v>
      </c>
      <c r="K56" s="6">
        <v>6</v>
      </c>
      <c r="L56" s="46">
        <v>34661.410000000003</v>
      </c>
    </row>
    <row r="57" spans="1:12" ht="13.9" customHeight="1" x14ac:dyDescent="0.25">
      <c r="A57" s="5" t="s">
        <v>266</v>
      </c>
      <c r="B57" s="17">
        <v>10113</v>
      </c>
      <c r="C57" s="17" t="s">
        <v>5</v>
      </c>
      <c r="D57" s="17">
        <v>1</v>
      </c>
      <c r="E57" s="17" t="s">
        <v>1</v>
      </c>
      <c r="F57" s="17">
        <v>11</v>
      </c>
      <c r="G57" s="16" t="s">
        <v>12</v>
      </c>
      <c r="H57" s="17" t="s">
        <v>205</v>
      </c>
      <c r="I57" s="17">
        <v>2022</v>
      </c>
      <c r="J57" s="17" t="s">
        <v>228</v>
      </c>
      <c r="K57" s="17">
        <v>6</v>
      </c>
      <c r="L57" s="47">
        <v>28943.03</v>
      </c>
    </row>
    <row r="58" spans="1:12" ht="13.9" customHeight="1" x14ac:dyDescent="0.25">
      <c r="A58" s="5" t="s">
        <v>266</v>
      </c>
      <c r="B58" s="6">
        <v>10113</v>
      </c>
      <c r="C58" s="6" t="s">
        <v>5</v>
      </c>
      <c r="D58" s="6">
        <v>1</v>
      </c>
      <c r="E58" s="6" t="s">
        <v>1</v>
      </c>
      <c r="F58" s="6">
        <v>11</v>
      </c>
      <c r="G58" s="5" t="s">
        <v>18</v>
      </c>
      <c r="H58" s="6" t="s">
        <v>203</v>
      </c>
      <c r="I58" s="6">
        <v>2022</v>
      </c>
      <c r="J58" s="6" t="s">
        <v>228</v>
      </c>
      <c r="K58" s="6">
        <v>6</v>
      </c>
      <c r="L58" s="46">
        <v>6540.79</v>
      </c>
    </row>
    <row r="59" spans="1:12" ht="13.9" customHeight="1" x14ac:dyDescent="0.25">
      <c r="A59" s="5" t="s">
        <v>266</v>
      </c>
      <c r="B59" s="17">
        <v>10113</v>
      </c>
      <c r="C59" s="17" t="s">
        <v>5</v>
      </c>
      <c r="D59" s="17">
        <v>1</v>
      </c>
      <c r="E59" s="17" t="s">
        <v>3</v>
      </c>
      <c r="F59" s="17">
        <v>12</v>
      </c>
      <c r="G59" s="16" t="s">
        <v>8</v>
      </c>
      <c r="H59" s="17" t="s">
        <v>206</v>
      </c>
      <c r="I59" s="17">
        <v>2022</v>
      </c>
      <c r="J59" s="17" t="s">
        <v>228</v>
      </c>
      <c r="K59" s="17">
        <v>6</v>
      </c>
      <c r="L59" s="47">
        <v>4572.34</v>
      </c>
    </row>
    <row r="60" spans="1:12" ht="13.9" customHeight="1" x14ac:dyDescent="0.25">
      <c r="A60" s="5" t="s">
        <v>266</v>
      </c>
      <c r="B60" s="6">
        <v>10113</v>
      </c>
      <c r="C60" s="6" t="s">
        <v>20</v>
      </c>
      <c r="D60" s="6">
        <v>2</v>
      </c>
      <c r="E60" s="6" t="s">
        <v>4</v>
      </c>
      <c r="F60" s="6">
        <v>21</v>
      </c>
      <c r="G60" s="5" t="s">
        <v>13</v>
      </c>
      <c r="H60" s="6" t="s">
        <v>204</v>
      </c>
      <c r="I60" s="6">
        <v>2022</v>
      </c>
      <c r="J60" s="6" t="s">
        <v>228</v>
      </c>
      <c r="K60" s="6">
        <v>6</v>
      </c>
      <c r="L60" s="46">
        <v>939919.47</v>
      </c>
    </row>
    <row r="61" spans="1:12" ht="13.9" customHeight="1" x14ac:dyDescent="0.25">
      <c r="A61" s="5" t="s">
        <v>266</v>
      </c>
      <c r="B61" s="17">
        <v>10113</v>
      </c>
      <c r="C61" s="17" t="s">
        <v>20</v>
      </c>
      <c r="D61" s="17">
        <v>2</v>
      </c>
      <c r="E61" s="17" t="s">
        <v>4</v>
      </c>
      <c r="F61" s="17">
        <v>21</v>
      </c>
      <c r="G61" s="16" t="s">
        <v>14</v>
      </c>
      <c r="H61" s="17" t="s">
        <v>207</v>
      </c>
      <c r="I61" s="17">
        <v>2022</v>
      </c>
      <c r="J61" s="17" t="s">
        <v>228</v>
      </c>
      <c r="K61" s="17">
        <v>6</v>
      </c>
      <c r="L61" s="47">
        <v>44406.720000000001</v>
      </c>
    </row>
    <row r="62" spans="1:12" ht="13.9" customHeight="1" x14ac:dyDescent="0.25">
      <c r="A62" s="5" t="s">
        <v>266</v>
      </c>
      <c r="B62" s="6">
        <v>10113</v>
      </c>
      <c r="C62" s="6" t="s">
        <v>5</v>
      </c>
      <c r="D62" s="6">
        <v>1</v>
      </c>
      <c r="E62" s="6" t="s">
        <v>1</v>
      </c>
      <c r="F62" s="6">
        <v>11</v>
      </c>
      <c r="G62" s="5" t="s">
        <v>6</v>
      </c>
      <c r="H62" s="6" t="s">
        <v>199</v>
      </c>
      <c r="I62" s="6">
        <v>2022</v>
      </c>
      <c r="J62" s="6" t="s">
        <v>229</v>
      </c>
      <c r="K62" s="6">
        <v>7</v>
      </c>
      <c r="L62" s="46">
        <v>328935.67999999999</v>
      </c>
    </row>
    <row r="63" spans="1:12" ht="13.9" customHeight="1" x14ac:dyDescent="0.25">
      <c r="A63" s="5" t="s">
        <v>266</v>
      </c>
      <c r="B63" s="17">
        <v>10113</v>
      </c>
      <c r="C63" s="17" t="s">
        <v>5</v>
      </c>
      <c r="D63" s="17">
        <v>1</v>
      </c>
      <c r="E63" s="17" t="s">
        <v>1</v>
      </c>
      <c r="F63" s="17">
        <v>11</v>
      </c>
      <c r="G63" s="16" t="s">
        <v>9</v>
      </c>
      <c r="H63" s="17" t="s">
        <v>200</v>
      </c>
      <c r="I63" s="17">
        <v>2022</v>
      </c>
      <c r="J63" s="17" t="s">
        <v>229</v>
      </c>
      <c r="K63" s="17">
        <v>7</v>
      </c>
      <c r="L63" s="47">
        <v>12303.56</v>
      </c>
    </row>
    <row r="64" spans="1:12" ht="13.9" customHeight="1" x14ac:dyDescent="0.25">
      <c r="A64" s="5" t="s">
        <v>266</v>
      </c>
      <c r="B64" s="6">
        <v>10113</v>
      </c>
      <c r="C64" s="6" t="s">
        <v>5</v>
      </c>
      <c r="D64" s="6">
        <v>1</v>
      </c>
      <c r="E64" s="6" t="s">
        <v>1</v>
      </c>
      <c r="F64" s="6">
        <v>11</v>
      </c>
      <c r="G64" s="5" t="s">
        <v>7</v>
      </c>
      <c r="H64" s="6" t="s">
        <v>201</v>
      </c>
      <c r="I64" s="6">
        <v>2022</v>
      </c>
      <c r="J64" s="6" t="s">
        <v>229</v>
      </c>
      <c r="K64" s="6">
        <v>7</v>
      </c>
      <c r="L64" s="46">
        <v>22266.31</v>
      </c>
    </row>
    <row r="65" spans="1:12" ht="13.9" customHeight="1" x14ac:dyDescent="0.25">
      <c r="A65" s="5" t="s">
        <v>266</v>
      </c>
      <c r="B65" s="17">
        <v>10113</v>
      </c>
      <c r="C65" s="17" t="s">
        <v>5</v>
      </c>
      <c r="D65" s="17">
        <v>1</v>
      </c>
      <c r="E65" s="17" t="s">
        <v>1</v>
      </c>
      <c r="F65" s="17">
        <v>11</v>
      </c>
      <c r="G65" s="16" t="s">
        <v>10</v>
      </c>
      <c r="H65" s="17" t="s">
        <v>199</v>
      </c>
      <c r="I65" s="17">
        <v>2022</v>
      </c>
      <c r="J65" s="17" t="s">
        <v>229</v>
      </c>
      <c r="K65" s="17">
        <v>7</v>
      </c>
      <c r="L65" s="47">
        <v>16147.31</v>
      </c>
    </row>
    <row r="66" spans="1:12" ht="13.9" customHeight="1" x14ac:dyDescent="0.25">
      <c r="A66" s="5" t="s">
        <v>266</v>
      </c>
      <c r="B66" s="6">
        <v>10113</v>
      </c>
      <c r="C66" s="6" t="s">
        <v>5</v>
      </c>
      <c r="D66" s="6">
        <v>1</v>
      </c>
      <c r="E66" s="6" t="s">
        <v>1</v>
      </c>
      <c r="F66" s="6">
        <v>11</v>
      </c>
      <c r="G66" s="5" t="s">
        <v>11</v>
      </c>
      <c r="H66" s="6" t="s">
        <v>202</v>
      </c>
      <c r="I66" s="6">
        <v>2022</v>
      </c>
      <c r="J66" s="6" t="s">
        <v>229</v>
      </c>
      <c r="K66" s="6">
        <v>7</v>
      </c>
      <c r="L66" s="46">
        <v>36394.49</v>
      </c>
    </row>
    <row r="67" spans="1:12" ht="13.9" customHeight="1" x14ac:dyDescent="0.25">
      <c r="A67" s="5" t="s">
        <v>266</v>
      </c>
      <c r="B67" s="17">
        <v>10113</v>
      </c>
      <c r="C67" s="17" t="s">
        <v>5</v>
      </c>
      <c r="D67" s="17">
        <v>1</v>
      </c>
      <c r="E67" s="17" t="s">
        <v>1</v>
      </c>
      <c r="F67" s="17">
        <v>11</v>
      </c>
      <c r="G67" s="16" t="s">
        <v>12</v>
      </c>
      <c r="H67" s="17" t="s">
        <v>205</v>
      </c>
      <c r="I67" s="17">
        <v>2022</v>
      </c>
      <c r="J67" s="17" t="s">
        <v>229</v>
      </c>
      <c r="K67" s="17">
        <v>7</v>
      </c>
      <c r="L67" s="47">
        <v>30390.18</v>
      </c>
    </row>
    <row r="68" spans="1:12" ht="13.9" customHeight="1" x14ac:dyDescent="0.25">
      <c r="A68" s="5" t="s">
        <v>266</v>
      </c>
      <c r="B68" s="6">
        <v>10113</v>
      </c>
      <c r="C68" s="6" t="s">
        <v>5</v>
      </c>
      <c r="D68" s="6">
        <v>1</v>
      </c>
      <c r="E68" s="6" t="s">
        <v>1</v>
      </c>
      <c r="F68" s="6">
        <v>11</v>
      </c>
      <c r="G68" s="5" t="s">
        <v>18</v>
      </c>
      <c r="H68" s="6" t="s">
        <v>203</v>
      </c>
      <c r="I68" s="6">
        <v>2022</v>
      </c>
      <c r="J68" s="6" t="s">
        <v>229</v>
      </c>
      <c r="K68" s="6">
        <v>7</v>
      </c>
      <c r="L68" s="50">
        <v>6867.82</v>
      </c>
    </row>
    <row r="69" spans="1:12" ht="13.9" customHeight="1" x14ac:dyDescent="0.25">
      <c r="A69" s="5" t="s">
        <v>266</v>
      </c>
      <c r="B69" s="17">
        <v>10113</v>
      </c>
      <c r="C69" s="17" t="s">
        <v>5</v>
      </c>
      <c r="D69" s="17">
        <v>1</v>
      </c>
      <c r="E69" s="17" t="s">
        <v>3</v>
      </c>
      <c r="F69" s="17">
        <v>12</v>
      </c>
      <c r="G69" s="16" t="s">
        <v>8</v>
      </c>
      <c r="H69" s="17" t="s">
        <v>206</v>
      </c>
      <c r="I69" s="17">
        <v>2022</v>
      </c>
      <c r="J69" s="17" t="s">
        <v>229</v>
      </c>
      <c r="K69" s="17">
        <v>7</v>
      </c>
      <c r="L69" s="17">
        <v>15064.72</v>
      </c>
    </row>
    <row r="70" spans="1:12" ht="13.9" customHeight="1" x14ac:dyDescent="0.25">
      <c r="A70" s="5" t="s">
        <v>266</v>
      </c>
      <c r="B70" s="6">
        <v>10113</v>
      </c>
      <c r="C70" s="6" t="s">
        <v>20</v>
      </c>
      <c r="D70" s="6">
        <v>2</v>
      </c>
      <c r="E70" s="6" t="s">
        <v>4</v>
      </c>
      <c r="F70" s="6">
        <v>21</v>
      </c>
      <c r="G70" s="5" t="s">
        <v>13</v>
      </c>
      <c r="H70" s="6" t="s">
        <v>204</v>
      </c>
      <c r="I70" s="6">
        <v>2022</v>
      </c>
      <c r="J70" s="6" t="s">
        <v>229</v>
      </c>
      <c r="K70" s="6">
        <v>7</v>
      </c>
      <c r="L70" s="46">
        <v>542261.25</v>
      </c>
    </row>
    <row r="71" spans="1:12" ht="13.9" customHeight="1" x14ac:dyDescent="0.25">
      <c r="A71" s="5" t="s">
        <v>266</v>
      </c>
      <c r="B71" s="17">
        <v>10113</v>
      </c>
      <c r="C71" s="17" t="s">
        <v>20</v>
      </c>
      <c r="D71" s="17">
        <v>2</v>
      </c>
      <c r="E71" s="17" t="s">
        <v>4</v>
      </c>
      <c r="F71" s="17">
        <v>21</v>
      </c>
      <c r="G71" s="16" t="s">
        <v>14</v>
      </c>
      <c r="H71" s="17" t="s">
        <v>207</v>
      </c>
      <c r="I71" s="17">
        <v>2022</v>
      </c>
      <c r="J71" s="17" t="s">
        <v>229</v>
      </c>
      <c r="K71" s="17">
        <v>7</v>
      </c>
      <c r="L71" s="47">
        <v>51457.06</v>
      </c>
    </row>
    <row r="72" spans="1:12" ht="13.9" customHeight="1" x14ac:dyDescent="0.25">
      <c r="A72" s="5" t="s">
        <v>266</v>
      </c>
      <c r="B72" s="6">
        <v>10113</v>
      </c>
      <c r="C72" s="6" t="s">
        <v>5</v>
      </c>
      <c r="D72" s="6">
        <v>1</v>
      </c>
      <c r="E72" s="6" t="s">
        <v>1</v>
      </c>
      <c r="F72" s="6">
        <v>11</v>
      </c>
      <c r="G72" s="5" t="s">
        <v>6</v>
      </c>
      <c r="H72" s="6" t="s">
        <v>199</v>
      </c>
      <c r="I72" s="6">
        <v>2022</v>
      </c>
      <c r="J72" s="6" t="s">
        <v>230</v>
      </c>
      <c r="K72" s="6">
        <v>8</v>
      </c>
      <c r="L72" s="46">
        <v>323803.81</v>
      </c>
    </row>
    <row r="73" spans="1:12" ht="13.9" customHeight="1" x14ac:dyDescent="0.25">
      <c r="A73" s="5" t="s">
        <v>266</v>
      </c>
      <c r="B73" s="17">
        <v>10113</v>
      </c>
      <c r="C73" s="17" t="s">
        <v>5</v>
      </c>
      <c r="D73" s="17">
        <v>1</v>
      </c>
      <c r="E73" s="17" t="s">
        <v>1</v>
      </c>
      <c r="F73" s="17">
        <v>11</v>
      </c>
      <c r="G73" s="16" t="s">
        <v>9</v>
      </c>
      <c r="H73" s="17" t="s">
        <v>200</v>
      </c>
      <c r="I73" s="17">
        <v>2022</v>
      </c>
      <c r="J73" s="17" t="s">
        <v>230</v>
      </c>
      <c r="K73" s="17">
        <v>8</v>
      </c>
      <c r="L73" s="47">
        <v>12943.35</v>
      </c>
    </row>
    <row r="74" spans="1:12" ht="13.9" customHeight="1" x14ac:dyDescent="0.25">
      <c r="A74" s="5" t="s">
        <v>266</v>
      </c>
      <c r="B74" s="6">
        <v>10113</v>
      </c>
      <c r="C74" s="6" t="s">
        <v>5</v>
      </c>
      <c r="D74" s="6">
        <v>1</v>
      </c>
      <c r="E74" s="6" t="s">
        <v>1</v>
      </c>
      <c r="F74" s="6">
        <v>11</v>
      </c>
      <c r="G74" s="5" t="s">
        <v>7</v>
      </c>
      <c r="H74" s="6" t="s">
        <v>201</v>
      </c>
      <c r="I74" s="6">
        <v>2022</v>
      </c>
      <c r="J74" s="6" t="s">
        <v>230</v>
      </c>
      <c r="K74" s="6">
        <v>8</v>
      </c>
      <c r="L74" s="46">
        <v>23424.15</v>
      </c>
    </row>
    <row r="75" spans="1:12" ht="13.9" customHeight="1" x14ac:dyDescent="0.25">
      <c r="A75" s="5" t="s">
        <v>266</v>
      </c>
      <c r="B75" s="17">
        <v>10113</v>
      </c>
      <c r="C75" s="17" t="s">
        <v>5</v>
      </c>
      <c r="D75" s="17">
        <v>1</v>
      </c>
      <c r="E75" s="17" t="s">
        <v>1</v>
      </c>
      <c r="F75" s="17">
        <v>11</v>
      </c>
      <c r="G75" s="16" t="s">
        <v>10</v>
      </c>
      <c r="H75" s="17" t="s">
        <v>199</v>
      </c>
      <c r="I75" s="17">
        <v>2022</v>
      </c>
      <c r="J75" s="17" t="s">
        <v>230</v>
      </c>
      <c r="K75" s="17">
        <v>8</v>
      </c>
      <c r="L75" s="47">
        <v>16986.96</v>
      </c>
    </row>
    <row r="76" spans="1:12" ht="13.9" customHeight="1" x14ac:dyDescent="0.25">
      <c r="A76" s="5" t="s">
        <v>266</v>
      </c>
      <c r="B76" s="6">
        <v>10113</v>
      </c>
      <c r="C76" s="6" t="s">
        <v>5</v>
      </c>
      <c r="D76" s="6">
        <v>1</v>
      </c>
      <c r="E76" s="6" t="s">
        <v>1</v>
      </c>
      <c r="F76" s="6">
        <v>11</v>
      </c>
      <c r="G76" s="5" t="s">
        <v>11</v>
      </c>
      <c r="H76" s="6" t="s">
        <v>202</v>
      </c>
      <c r="I76" s="6">
        <v>2022</v>
      </c>
      <c r="J76" s="6" t="s">
        <v>230</v>
      </c>
      <c r="K76" s="6">
        <v>8</v>
      </c>
      <c r="L76" s="50">
        <v>38287</v>
      </c>
    </row>
    <row r="77" spans="1:12" ht="13.9" customHeight="1" x14ac:dyDescent="0.25">
      <c r="A77" s="5" t="s">
        <v>266</v>
      </c>
      <c r="B77" s="17">
        <v>10113</v>
      </c>
      <c r="C77" s="17" t="s">
        <v>5</v>
      </c>
      <c r="D77" s="17">
        <v>1</v>
      </c>
      <c r="E77" s="17" t="s">
        <v>1</v>
      </c>
      <c r="F77" s="17">
        <v>11</v>
      </c>
      <c r="G77" s="16" t="s">
        <v>12</v>
      </c>
      <c r="H77" s="17" t="s">
        <v>205</v>
      </c>
      <c r="I77" s="17">
        <v>2022</v>
      </c>
      <c r="J77" s="17" t="s">
        <v>230</v>
      </c>
      <c r="K77" s="17">
        <v>8</v>
      </c>
      <c r="L77" s="17">
        <v>31970.46</v>
      </c>
    </row>
    <row r="78" spans="1:12" ht="13.9" customHeight="1" x14ac:dyDescent="0.25">
      <c r="A78" s="5" t="s">
        <v>266</v>
      </c>
      <c r="B78" s="6">
        <v>10113</v>
      </c>
      <c r="C78" s="6" t="s">
        <v>5</v>
      </c>
      <c r="D78" s="6">
        <v>1</v>
      </c>
      <c r="E78" s="6" t="s">
        <v>1</v>
      </c>
      <c r="F78" s="6">
        <v>11</v>
      </c>
      <c r="G78" s="5" t="s">
        <v>18</v>
      </c>
      <c r="H78" s="6" t="s">
        <v>203</v>
      </c>
      <c r="I78" s="6">
        <v>2022</v>
      </c>
      <c r="J78" s="6" t="s">
        <v>230</v>
      </c>
      <c r="K78" s="6">
        <v>8</v>
      </c>
      <c r="L78" s="46">
        <v>7224.94</v>
      </c>
    </row>
    <row r="79" spans="1:12" ht="13.9" customHeight="1" x14ac:dyDescent="0.25">
      <c r="A79" s="5" t="s">
        <v>266</v>
      </c>
      <c r="B79" s="17">
        <v>10113</v>
      </c>
      <c r="C79" s="17" t="s">
        <v>5</v>
      </c>
      <c r="D79" s="17">
        <v>1</v>
      </c>
      <c r="E79" s="17" t="s">
        <v>3</v>
      </c>
      <c r="F79" s="17">
        <v>12</v>
      </c>
      <c r="G79" s="16" t="s">
        <v>8</v>
      </c>
      <c r="H79" s="17" t="s">
        <v>206</v>
      </c>
      <c r="I79" s="17">
        <v>2022</v>
      </c>
      <c r="J79" s="17" t="s">
        <v>230</v>
      </c>
      <c r="K79" s="17">
        <v>8</v>
      </c>
      <c r="L79" s="47">
        <v>15848.09</v>
      </c>
    </row>
    <row r="80" spans="1:12" ht="13.9" customHeight="1" x14ac:dyDescent="0.25">
      <c r="A80" s="5" t="s">
        <v>266</v>
      </c>
      <c r="B80" s="6">
        <v>10113</v>
      </c>
      <c r="C80" s="6" t="s">
        <v>20</v>
      </c>
      <c r="D80" s="6">
        <v>2</v>
      </c>
      <c r="E80" s="6" t="s">
        <v>4</v>
      </c>
      <c r="F80" s="6">
        <v>21</v>
      </c>
      <c r="G80" s="5" t="s">
        <v>13</v>
      </c>
      <c r="H80" s="6" t="s">
        <v>204</v>
      </c>
      <c r="I80" s="6">
        <v>2022</v>
      </c>
      <c r="J80" s="6" t="s">
        <v>230</v>
      </c>
      <c r="K80" s="6">
        <v>8</v>
      </c>
      <c r="L80" s="46">
        <v>675086.24</v>
      </c>
    </row>
    <row r="81" spans="1:12" ht="13.9" customHeight="1" x14ac:dyDescent="0.25">
      <c r="A81" s="5" t="s">
        <v>266</v>
      </c>
      <c r="B81" s="17">
        <v>10113</v>
      </c>
      <c r="C81" s="17" t="s">
        <v>20</v>
      </c>
      <c r="D81" s="17">
        <v>2</v>
      </c>
      <c r="E81" s="17" t="s">
        <v>4</v>
      </c>
      <c r="F81" s="17">
        <v>21</v>
      </c>
      <c r="G81" s="16" t="s">
        <v>14</v>
      </c>
      <c r="H81" s="17" t="s">
        <v>207</v>
      </c>
      <c r="I81" s="17">
        <v>2022</v>
      </c>
      <c r="J81" s="17" t="s">
        <v>230</v>
      </c>
      <c r="K81" s="17">
        <v>8</v>
      </c>
      <c r="L81" s="47">
        <v>70777.06</v>
      </c>
    </row>
    <row r="82" spans="1:12" ht="13.9" customHeight="1" x14ac:dyDescent="0.25">
      <c r="A82" s="5" t="s">
        <v>266</v>
      </c>
      <c r="B82" s="6">
        <v>10113</v>
      </c>
      <c r="C82" s="6" t="s">
        <v>5</v>
      </c>
      <c r="D82" s="6">
        <v>1</v>
      </c>
      <c r="E82" s="6" t="s">
        <v>1</v>
      </c>
      <c r="F82" s="6">
        <v>11</v>
      </c>
      <c r="G82" s="5" t="s">
        <v>6</v>
      </c>
      <c r="H82" s="6" t="s">
        <v>199</v>
      </c>
      <c r="I82" s="6">
        <v>2022</v>
      </c>
      <c r="J82" s="6" t="s">
        <v>231</v>
      </c>
      <c r="K82" s="6">
        <v>9</v>
      </c>
      <c r="L82" s="46">
        <v>339993.99</v>
      </c>
    </row>
    <row r="83" spans="1:12" ht="13.9" customHeight="1" x14ac:dyDescent="0.25">
      <c r="A83" s="5" t="s">
        <v>266</v>
      </c>
      <c r="B83" s="17">
        <v>10113</v>
      </c>
      <c r="C83" s="17" t="s">
        <v>5</v>
      </c>
      <c r="D83" s="17">
        <v>1</v>
      </c>
      <c r="E83" s="17" t="s">
        <v>1</v>
      </c>
      <c r="F83" s="17">
        <v>11</v>
      </c>
      <c r="G83" s="16" t="s">
        <v>9</v>
      </c>
      <c r="H83" s="17" t="s">
        <v>200</v>
      </c>
      <c r="I83" s="17">
        <v>2022</v>
      </c>
      <c r="J83" s="17" t="s">
        <v>231</v>
      </c>
      <c r="K83" s="17">
        <v>9</v>
      </c>
      <c r="L83" s="47">
        <v>13590.52</v>
      </c>
    </row>
    <row r="84" spans="1:12" ht="13.9" customHeight="1" x14ac:dyDescent="0.25">
      <c r="A84" s="5" t="s">
        <v>266</v>
      </c>
      <c r="B84" s="6">
        <v>10113</v>
      </c>
      <c r="C84" s="6" t="s">
        <v>5</v>
      </c>
      <c r="D84" s="6">
        <v>1</v>
      </c>
      <c r="E84" s="6" t="s">
        <v>1</v>
      </c>
      <c r="F84" s="6">
        <v>11</v>
      </c>
      <c r="G84" s="5" t="s">
        <v>7</v>
      </c>
      <c r="H84" s="6" t="s">
        <v>201</v>
      </c>
      <c r="I84" s="6">
        <v>2022</v>
      </c>
      <c r="J84" s="6" t="s">
        <v>231</v>
      </c>
      <c r="K84" s="6">
        <v>9</v>
      </c>
      <c r="L84" s="50">
        <v>24595.37</v>
      </c>
    </row>
    <row r="85" spans="1:12" ht="13.9" customHeight="1" x14ac:dyDescent="0.25">
      <c r="A85" s="5" t="s">
        <v>266</v>
      </c>
      <c r="B85" s="17">
        <v>10113</v>
      </c>
      <c r="C85" s="17" t="s">
        <v>5</v>
      </c>
      <c r="D85" s="17">
        <v>1</v>
      </c>
      <c r="E85" s="17" t="s">
        <v>1</v>
      </c>
      <c r="F85" s="17">
        <v>11</v>
      </c>
      <c r="G85" s="16" t="s">
        <v>10</v>
      </c>
      <c r="H85" s="17" t="s">
        <v>199</v>
      </c>
      <c r="I85" s="17">
        <v>2022</v>
      </c>
      <c r="J85" s="17" t="s">
        <v>231</v>
      </c>
      <c r="K85" s="17">
        <v>9</v>
      </c>
      <c r="L85" s="17">
        <v>17836.32</v>
      </c>
    </row>
    <row r="86" spans="1:12" ht="13.9" customHeight="1" x14ac:dyDescent="0.25">
      <c r="A86" s="5" t="s">
        <v>266</v>
      </c>
      <c r="B86" s="6">
        <v>10113</v>
      </c>
      <c r="C86" s="6" t="s">
        <v>5</v>
      </c>
      <c r="D86" s="6">
        <v>1</v>
      </c>
      <c r="E86" s="6" t="s">
        <v>1</v>
      </c>
      <c r="F86" s="6">
        <v>11</v>
      </c>
      <c r="G86" s="5" t="s">
        <v>11</v>
      </c>
      <c r="H86" s="6" t="s">
        <v>202</v>
      </c>
      <c r="I86" s="6">
        <v>2022</v>
      </c>
      <c r="J86" s="6" t="s">
        <v>231</v>
      </c>
      <c r="K86" s="6">
        <v>9</v>
      </c>
      <c r="L86" s="46">
        <v>40201.339999999997</v>
      </c>
    </row>
    <row r="87" spans="1:12" ht="13.9" customHeight="1" x14ac:dyDescent="0.25">
      <c r="A87" s="5" t="s">
        <v>266</v>
      </c>
      <c r="B87" s="17">
        <v>10113</v>
      </c>
      <c r="C87" s="17" t="s">
        <v>5</v>
      </c>
      <c r="D87" s="17">
        <v>1</v>
      </c>
      <c r="E87" s="17" t="s">
        <v>1</v>
      </c>
      <c r="F87" s="17">
        <v>11</v>
      </c>
      <c r="G87" s="16" t="s">
        <v>12</v>
      </c>
      <c r="H87" s="17" t="s">
        <v>205</v>
      </c>
      <c r="I87" s="17">
        <v>2022</v>
      </c>
      <c r="J87" s="17" t="s">
        <v>231</v>
      </c>
      <c r="K87" s="17">
        <v>9</v>
      </c>
      <c r="L87" s="47">
        <v>33568.980000000003</v>
      </c>
    </row>
    <row r="88" spans="1:12" ht="13.9" customHeight="1" x14ac:dyDescent="0.25">
      <c r="A88" s="5" t="s">
        <v>266</v>
      </c>
      <c r="B88" s="6">
        <v>10113</v>
      </c>
      <c r="C88" s="6" t="s">
        <v>5</v>
      </c>
      <c r="D88" s="6">
        <v>1</v>
      </c>
      <c r="E88" s="6" t="s">
        <v>1</v>
      </c>
      <c r="F88" s="6">
        <v>11</v>
      </c>
      <c r="G88" s="5" t="s">
        <v>18</v>
      </c>
      <c r="H88" s="6" t="s">
        <v>203</v>
      </c>
      <c r="I88" s="6">
        <v>2022</v>
      </c>
      <c r="J88" s="6" t="s">
        <v>231</v>
      </c>
      <c r="K88" s="6">
        <v>9</v>
      </c>
      <c r="L88" s="46">
        <v>7586.19</v>
      </c>
    </row>
    <row r="89" spans="1:12" ht="13.9" customHeight="1" x14ac:dyDescent="0.25">
      <c r="A89" s="5" t="s">
        <v>266</v>
      </c>
      <c r="B89" s="17">
        <v>10113</v>
      </c>
      <c r="C89" s="17" t="s">
        <v>5</v>
      </c>
      <c r="D89" s="17">
        <v>1</v>
      </c>
      <c r="E89" s="17" t="s">
        <v>3</v>
      </c>
      <c r="F89" s="17">
        <v>12</v>
      </c>
      <c r="G89" s="16" t="s">
        <v>8</v>
      </c>
      <c r="H89" s="17" t="s">
        <v>206</v>
      </c>
      <c r="I89" s="17">
        <v>2022</v>
      </c>
      <c r="J89" s="17" t="s">
        <v>231</v>
      </c>
      <c r="K89" s="17">
        <v>9</v>
      </c>
      <c r="L89" s="47">
        <v>16640.490000000002</v>
      </c>
    </row>
    <row r="90" spans="1:12" ht="13.9" customHeight="1" x14ac:dyDescent="0.25">
      <c r="A90" s="5" t="s">
        <v>266</v>
      </c>
      <c r="B90" s="6">
        <v>10113</v>
      </c>
      <c r="C90" s="6" t="s">
        <v>20</v>
      </c>
      <c r="D90" s="6">
        <v>2</v>
      </c>
      <c r="E90" s="6" t="s">
        <v>4</v>
      </c>
      <c r="F90" s="6">
        <v>21</v>
      </c>
      <c r="G90" s="5" t="s">
        <v>13</v>
      </c>
      <c r="H90" s="6" t="s">
        <v>204</v>
      </c>
      <c r="I90" s="6">
        <v>2022</v>
      </c>
      <c r="J90" s="6" t="s">
        <v>231</v>
      </c>
      <c r="K90" s="6">
        <v>9</v>
      </c>
      <c r="L90" s="46">
        <v>376132.27</v>
      </c>
    </row>
    <row r="91" spans="1:12" ht="13.9" customHeight="1" x14ac:dyDescent="0.25">
      <c r="A91" s="5" t="s">
        <v>266</v>
      </c>
      <c r="B91" s="17">
        <v>10113</v>
      </c>
      <c r="C91" s="17" t="s">
        <v>20</v>
      </c>
      <c r="D91" s="17">
        <v>2</v>
      </c>
      <c r="E91" s="17" t="s">
        <v>4</v>
      </c>
      <c r="F91" s="17">
        <v>21</v>
      </c>
      <c r="G91" s="16" t="s">
        <v>14</v>
      </c>
      <c r="H91" s="17" t="s">
        <v>207</v>
      </c>
      <c r="I91" s="17">
        <v>2022</v>
      </c>
      <c r="J91" s="17" t="s">
        <v>231</v>
      </c>
      <c r="K91" s="17">
        <v>9</v>
      </c>
      <c r="L91" s="47">
        <v>70777.06</v>
      </c>
    </row>
    <row r="92" spans="1:12" ht="13.9" customHeight="1" x14ac:dyDescent="0.25">
      <c r="A92" s="5" t="s">
        <v>266</v>
      </c>
      <c r="B92" s="6">
        <v>10113</v>
      </c>
      <c r="C92" s="6" t="s">
        <v>5</v>
      </c>
      <c r="D92" s="6">
        <v>1</v>
      </c>
      <c r="E92" s="6" t="s">
        <v>1</v>
      </c>
      <c r="F92" s="6">
        <v>11</v>
      </c>
      <c r="G92" s="5" t="s">
        <v>6</v>
      </c>
      <c r="H92" s="6" t="s">
        <v>199</v>
      </c>
      <c r="I92" s="6">
        <v>2022</v>
      </c>
      <c r="J92" s="6" t="s">
        <v>232</v>
      </c>
      <c r="K92" s="6">
        <v>10</v>
      </c>
      <c r="L92" s="50">
        <v>343232.04</v>
      </c>
    </row>
    <row r="93" spans="1:12" ht="13.9" customHeight="1" x14ac:dyDescent="0.25">
      <c r="A93" s="5" t="s">
        <v>266</v>
      </c>
      <c r="B93" s="17">
        <v>10113</v>
      </c>
      <c r="C93" s="17" t="s">
        <v>5</v>
      </c>
      <c r="D93" s="17">
        <v>1</v>
      </c>
      <c r="E93" s="17" t="s">
        <v>1</v>
      </c>
      <c r="F93" s="17">
        <v>11</v>
      </c>
      <c r="G93" s="16" t="s">
        <v>9</v>
      </c>
      <c r="H93" s="17" t="s">
        <v>200</v>
      </c>
      <c r="I93" s="17">
        <v>2022</v>
      </c>
      <c r="J93" s="17" t="s">
        <v>232</v>
      </c>
      <c r="K93" s="17">
        <v>10</v>
      </c>
      <c r="L93" s="17">
        <v>12943.35</v>
      </c>
    </row>
    <row r="94" spans="1:12" ht="13.9" customHeight="1" x14ac:dyDescent="0.25">
      <c r="A94" s="5" t="s">
        <v>266</v>
      </c>
      <c r="B94" s="6">
        <v>10113</v>
      </c>
      <c r="C94" s="6" t="s">
        <v>5</v>
      </c>
      <c r="D94" s="6">
        <v>1</v>
      </c>
      <c r="E94" s="6" t="s">
        <v>1</v>
      </c>
      <c r="F94" s="6">
        <v>11</v>
      </c>
      <c r="G94" s="5" t="s">
        <v>7</v>
      </c>
      <c r="H94" s="6" t="s">
        <v>201</v>
      </c>
      <c r="I94" s="6">
        <v>2022</v>
      </c>
      <c r="J94" s="6" t="s">
        <v>232</v>
      </c>
      <c r="K94" s="6">
        <v>10</v>
      </c>
      <c r="L94" s="46">
        <v>23424.15</v>
      </c>
    </row>
    <row r="95" spans="1:12" ht="13.9" customHeight="1" x14ac:dyDescent="0.25">
      <c r="A95" s="5" t="s">
        <v>266</v>
      </c>
      <c r="B95" s="17">
        <v>10113</v>
      </c>
      <c r="C95" s="17" t="s">
        <v>5</v>
      </c>
      <c r="D95" s="17">
        <v>1</v>
      </c>
      <c r="E95" s="17" t="s">
        <v>1</v>
      </c>
      <c r="F95" s="17">
        <v>11</v>
      </c>
      <c r="G95" s="16" t="s">
        <v>10</v>
      </c>
      <c r="H95" s="17" t="s">
        <v>199</v>
      </c>
      <c r="I95" s="17">
        <v>2022</v>
      </c>
      <c r="J95" s="17" t="s">
        <v>232</v>
      </c>
      <c r="K95" s="17">
        <v>10</v>
      </c>
      <c r="L95" s="47">
        <v>16986.96</v>
      </c>
    </row>
    <row r="96" spans="1:12" ht="13.9" customHeight="1" x14ac:dyDescent="0.25">
      <c r="A96" s="5" t="s">
        <v>266</v>
      </c>
      <c r="B96" s="6">
        <v>10113</v>
      </c>
      <c r="C96" s="6" t="s">
        <v>5</v>
      </c>
      <c r="D96" s="6">
        <v>1</v>
      </c>
      <c r="E96" s="6" t="s">
        <v>1</v>
      </c>
      <c r="F96" s="6">
        <v>11</v>
      </c>
      <c r="G96" s="5" t="s">
        <v>11</v>
      </c>
      <c r="H96" s="6" t="s">
        <v>202</v>
      </c>
      <c r="I96" s="6">
        <v>2022</v>
      </c>
      <c r="J96" s="6" t="s">
        <v>232</v>
      </c>
      <c r="K96" s="6">
        <v>10</v>
      </c>
      <c r="L96" s="46">
        <v>38287</v>
      </c>
    </row>
    <row r="97" spans="1:12" ht="13.9" customHeight="1" x14ac:dyDescent="0.25">
      <c r="A97" s="5" t="s">
        <v>266</v>
      </c>
      <c r="B97" s="17">
        <v>10113</v>
      </c>
      <c r="C97" s="17" t="s">
        <v>5</v>
      </c>
      <c r="D97" s="17">
        <v>1</v>
      </c>
      <c r="E97" s="17" t="s">
        <v>1</v>
      </c>
      <c r="F97" s="17">
        <v>11</v>
      </c>
      <c r="G97" s="16" t="s">
        <v>12</v>
      </c>
      <c r="H97" s="17" t="s">
        <v>205</v>
      </c>
      <c r="I97" s="17">
        <v>2022</v>
      </c>
      <c r="J97" s="17" t="s">
        <v>232</v>
      </c>
      <c r="K97" s="17">
        <v>10</v>
      </c>
      <c r="L97" s="47">
        <v>33249.279999999999</v>
      </c>
    </row>
    <row r="98" spans="1:12" ht="13.9" customHeight="1" x14ac:dyDescent="0.25">
      <c r="A98" s="5" t="s">
        <v>266</v>
      </c>
      <c r="B98" s="6">
        <v>10113</v>
      </c>
      <c r="C98" s="6" t="s">
        <v>5</v>
      </c>
      <c r="D98" s="6">
        <v>1</v>
      </c>
      <c r="E98" s="6" t="s">
        <v>1</v>
      </c>
      <c r="F98" s="6">
        <v>11</v>
      </c>
      <c r="G98" s="5" t="s">
        <v>18</v>
      </c>
      <c r="H98" s="6" t="s">
        <v>203</v>
      </c>
      <c r="I98" s="6">
        <v>2022</v>
      </c>
      <c r="J98" s="6" t="s">
        <v>232</v>
      </c>
      <c r="K98" s="6">
        <v>10</v>
      </c>
      <c r="L98" s="46">
        <v>7224.94</v>
      </c>
    </row>
    <row r="99" spans="1:12" ht="13.9" customHeight="1" x14ac:dyDescent="0.25">
      <c r="A99" s="5" t="s">
        <v>266</v>
      </c>
      <c r="B99" s="17">
        <v>10113</v>
      </c>
      <c r="C99" s="17" t="s">
        <v>5</v>
      </c>
      <c r="D99" s="17">
        <v>1</v>
      </c>
      <c r="E99" s="17" t="s">
        <v>3</v>
      </c>
      <c r="F99" s="17">
        <v>12</v>
      </c>
      <c r="G99" s="16" t="s">
        <v>8</v>
      </c>
      <c r="H99" s="17" t="s">
        <v>206</v>
      </c>
      <c r="I99" s="17">
        <v>2022</v>
      </c>
      <c r="J99" s="17" t="s">
        <v>232</v>
      </c>
      <c r="K99" s="17">
        <v>10</v>
      </c>
      <c r="L99" s="47">
        <v>181125</v>
      </c>
    </row>
    <row r="100" spans="1:12" ht="13.9" customHeight="1" x14ac:dyDescent="0.25">
      <c r="A100" s="5" t="s">
        <v>266</v>
      </c>
      <c r="B100" s="6">
        <v>10113</v>
      </c>
      <c r="C100" s="6" t="s">
        <v>20</v>
      </c>
      <c r="D100" s="6">
        <v>2</v>
      </c>
      <c r="E100" s="6" t="s">
        <v>4</v>
      </c>
      <c r="F100" s="6">
        <v>21</v>
      </c>
      <c r="G100" s="5" t="s">
        <v>13</v>
      </c>
      <c r="H100" s="6" t="s">
        <v>204</v>
      </c>
      <c r="I100" s="6">
        <v>2022</v>
      </c>
      <c r="J100" s="6" t="s">
        <v>232</v>
      </c>
      <c r="K100" s="6">
        <v>10</v>
      </c>
      <c r="L100" s="46">
        <v>667576.78</v>
      </c>
    </row>
    <row r="101" spans="1:12" ht="13.9" customHeight="1" x14ac:dyDescent="0.25">
      <c r="A101" s="5" t="s">
        <v>266</v>
      </c>
      <c r="B101" s="17">
        <v>10113</v>
      </c>
      <c r="C101" s="17" t="s">
        <v>20</v>
      </c>
      <c r="D101" s="17">
        <v>2</v>
      </c>
      <c r="E101" s="17" t="s">
        <v>4</v>
      </c>
      <c r="F101" s="17">
        <v>21</v>
      </c>
      <c r="G101" s="16" t="s">
        <v>14</v>
      </c>
      <c r="H101" s="17" t="s">
        <v>207</v>
      </c>
      <c r="I101" s="17">
        <v>2022</v>
      </c>
      <c r="J101" s="17" t="s">
        <v>232</v>
      </c>
      <c r="K101" s="17">
        <v>10</v>
      </c>
      <c r="L101" s="47">
        <v>70777.06</v>
      </c>
    </row>
    <row r="102" spans="1:12" ht="13.9" customHeight="1" x14ac:dyDescent="0.25">
      <c r="A102" s="5" t="s">
        <v>266</v>
      </c>
      <c r="B102" s="6">
        <v>10113</v>
      </c>
      <c r="C102" s="6" t="s">
        <v>5</v>
      </c>
      <c r="D102" s="6">
        <v>1</v>
      </c>
      <c r="E102" s="6" t="s">
        <v>1</v>
      </c>
      <c r="F102" s="6">
        <v>11</v>
      </c>
      <c r="G102" s="5" t="s">
        <v>6</v>
      </c>
      <c r="H102" s="6" t="s">
        <v>199</v>
      </c>
      <c r="I102" s="6">
        <v>2022</v>
      </c>
      <c r="J102" s="6" t="s">
        <v>233</v>
      </c>
      <c r="K102" s="6">
        <v>11</v>
      </c>
      <c r="L102" s="46">
        <v>292394.84000000003</v>
      </c>
    </row>
    <row r="103" spans="1:12" ht="13.9" customHeight="1" x14ac:dyDescent="0.25">
      <c r="A103" s="5" t="s">
        <v>266</v>
      </c>
      <c r="B103" s="17">
        <v>10113</v>
      </c>
      <c r="C103" s="17" t="s">
        <v>5</v>
      </c>
      <c r="D103" s="17">
        <v>1</v>
      </c>
      <c r="E103" s="17" t="s">
        <v>1</v>
      </c>
      <c r="F103" s="17">
        <v>11</v>
      </c>
      <c r="G103" s="16" t="s">
        <v>9</v>
      </c>
      <c r="H103" s="17" t="s">
        <v>200</v>
      </c>
      <c r="I103" s="17">
        <v>2022</v>
      </c>
      <c r="J103" s="17" t="s">
        <v>233</v>
      </c>
      <c r="K103" s="17">
        <v>11</v>
      </c>
      <c r="L103" s="47">
        <v>11687.84</v>
      </c>
    </row>
    <row r="104" spans="1:12" ht="13.9" customHeight="1" x14ac:dyDescent="0.25">
      <c r="A104" s="5" t="s">
        <v>266</v>
      </c>
      <c r="B104" s="6">
        <v>10113</v>
      </c>
      <c r="C104" s="6" t="s">
        <v>5</v>
      </c>
      <c r="D104" s="6">
        <v>1</v>
      </c>
      <c r="E104" s="6" t="s">
        <v>1</v>
      </c>
      <c r="F104" s="6">
        <v>11</v>
      </c>
      <c r="G104" s="5" t="s">
        <v>7</v>
      </c>
      <c r="H104" s="6" t="s">
        <v>201</v>
      </c>
      <c r="I104" s="6">
        <v>2022</v>
      </c>
      <c r="J104" s="6" t="s">
        <v>233</v>
      </c>
      <c r="K104" s="6">
        <v>11</v>
      </c>
      <c r="L104" s="46">
        <v>21152.02</v>
      </c>
    </row>
    <row r="105" spans="1:12" ht="13.9" customHeight="1" x14ac:dyDescent="0.25">
      <c r="A105" s="5" t="s">
        <v>266</v>
      </c>
      <c r="B105" s="17">
        <v>10113</v>
      </c>
      <c r="C105" s="17" t="s">
        <v>5</v>
      </c>
      <c r="D105" s="17">
        <v>1</v>
      </c>
      <c r="E105" s="17" t="s">
        <v>1</v>
      </c>
      <c r="F105" s="17">
        <v>11</v>
      </c>
      <c r="G105" s="16" t="s">
        <v>10</v>
      </c>
      <c r="H105" s="17" t="s">
        <v>199</v>
      </c>
      <c r="I105" s="17">
        <v>2022</v>
      </c>
      <c r="J105" s="17" t="s">
        <v>233</v>
      </c>
      <c r="K105" s="17">
        <v>11</v>
      </c>
      <c r="L105" s="47">
        <v>15339.23</v>
      </c>
    </row>
    <row r="106" spans="1:12" x14ac:dyDescent="0.25">
      <c r="A106" s="5" t="s">
        <v>266</v>
      </c>
      <c r="B106" s="6">
        <v>10113</v>
      </c>
      <c r="C106" s="6" t="s">
        <v>5</v>
      </c>
      <c r="D106" s="6">
        <v>1</v>
      </c>
      <c r="E106" s="6" t="s">
        <v>1</v>
      </c>
      <c r="F106" s="6">
        <v>11</v>
      </c>
      <c r="G106" s="5" t="s">
        <v>11</v>
      </c>
      <c r="H106" s="6" t="s">
        <v>202</v>
      </c>
      <c r="I106" s="6">
        <v>2022</v>
      </c>
      <c r="J106" s="6" t="s">
        <v>233</v>
      </c>
      <c r="K106" s="6">
        <v>11</v>
      </c>
      <c r="L106" s="46">
        <v>34573.15</v>
      </c>
    </row>
    <row r="107" spans="1:12" x14ac:dyDescent="0.25">
      <c r="A107" s="5" t="s">
        <v>266</v>
      </c>
      <c r="B107" s="17">
        <v>10113</v>
      </c>
      <c r="C107" s="17" t="s">
        <v>5</v>
      </c>
      <c r="D107" s="17">
        <v>1</v>
      </c>
      <c r="E107" s="17" t="s">
        <v>1</v>
      </c>
      <c r="F107" s="17">
        <v>11</v>
      </c>
      <c r="G107" s="16" t="s">
        <v>12</v>
      </c>
      <c r="H107" s="17" t="s">
        <v>205</v>
      </c>
      <c r="I107" s="17">
        <v>2022</v>
      </c>
      <c r="J107" s="17" t="s">
        <v>233</v>
      </c>
      <c r="K107" s="17">
        <v>11</v>
      </c>
      <c r="L107" s="47">
        <v>28869.32</v>
      </c>
    </row>
    <row r="108" spans="1:12" x14ac:dyDescent="0.25">
      <c r="A108" s="5" t="s">
        <v>266</v>
      </c>
      <c r="B108" s="6">
        <v>10113</v>
      </c>
      <c r="C108" s="6" t="s">
        <v>5</v>
      </c>
      <c r="D108" s="6">
        <v>1</v>
      </c>
      <c r="E108" s="6" t="s">
        <v>1</v>
      </c>
      <c r="F108" s="6">
        <v>11</v>
      </c>
      <c r="G108" s="5" t="s">
        <v>18</v>
      </c>
      <c r="H108" s="6" t="s">
        <v>203</v>
      </c>
      <c r="I108" s="6">
        <v>2022</v>
      </c>
      <c r="J108" s="6" t="s">
        <v>233</v>
      </c>
      <c r="K108" s="6">
        <v>11</v>
      </c>
      <c r="L108" s="46">
        <v>6524.12</v>
      </c>
    </row>
    <row r="109" spans="1:12" x14ac:dyDescent="0.25">
      <c r="A109" s="5" t="s">
        <v>266</v>
      </c>
      <c r="B109" s="17">
        <v>10113</v>
      </c>
      <c r="C109" s="17" t="s">
        <v>5</v>
      </c>
      <c r="D109" s="17">
        <v>1</v>
      </c>
      <c r="E109" s="17" t="s">
        <v>3</v>
      </c>
      <c r="F109" s="17">
        <v>12</v>
      </c>
      <c r="G109" s="16" t="s">
        <v>8</v>
      </c>
      <c r="H109" s="17" t="s">
        <v>206</v>
      </c>
      <c r="I109" s="17">
        <v>2022</v>
      </c>
      <c r="J109" s="17" t="s">
        <v>233</v>
      </c>
      <c r="K109" s="17">
        <v>11</v>
      </c>
      <c r="L109" s="47">
        <v>14310.82</v>
      </c>
    </row>
    <row r="110" spans="1:12" x14ac:dyDescent="0.25">
      <c r="A110" s="5" t="s">
        <v>266</v>
      </c>
      <c r="B110" s="6">
        <v>10113</v>
      </c>
      <c r="C110" s="6" t="s">
        <v>20</v>
      </c>
      <c r="D110" s="6">
        <v>2</v>
      </c>
      <c r="E110" s="6" t="s">
        <v>4</v>
      </c>
      <c r="F110" s="6">
        <v>21</v>
      </c>
      <c r="G110" s="5" t="s">
        <v>13</v>
      </c>
      <c r="H110" s="6" t="s">
        <v>204</v>
      </c>
      <c r="I110" s="6">
        <v>2022</v>
      </c>
      <c r="J110" s="6" t="s">
        <v>233</v>
      </c>
      <c r="K110" s="6">
        <v>11</v>
      </c>
      <c r="L110" s="50">
        <v>358221.21</v>
      </c>
    </row>
    <row r="111" spans="1:12" x14ac:dyDescent="0.25">
      <c r="A111" s="5" t="s">
        <v>266</v>
      </c>
      <c r="B111" s="17">
        <v>10113</v>
      </c>
      <c r="C111" s="17" t="s">
        <v>20</v>
      </c>
      <c r="D111" s="17">
        <v>2</v>
      </c>
      <c r="E111" s="17" t="s">
        <v>4</v>
      </c>
      <c r="F111" s="17">
        <v>21</v>
      </c>
      <c r="G111" s="16" t="s">
        <v>14</v>
      </c>
      <c r="H111" s="17" t="s">
        <v>207</v>
      </c>
      <c r="I111" s="17">
        <v>2022</v>
      </c>
      <c r="J111" s="17" t="s">
        <v>233</v>
      </c>
      <c r="K111" s="17">
        <v>11</v>
      </c>
      <c r="L111" s="47">
        <v>60868.27</v>
      </c>
    </row>
    <row r="112" spans="1:12" x14ac:dyDescent="0.25">
      <c r="A112" s="5" t="s">
        <v>266</v>
      </c>
      <c r="B112" s="6">
        <v>10113</v>
      </c>
      <c r="C112" s="6" t="s">
        <v>5</v>
      </c>
      <c r="D112" s="6">
        <v>1</v>
      </c>
      <c r="E112" s="6" t="s">
        <v>1</v>
      </c>
      <c r="F112" s="6">
        <v>11</v>
      </c>
      <c r="G112" s="5" t="s">
        <v>6</v>
      </c>
      <c r="H112" s="6" t="s">
        <v>199</v>
      </c>
      <c r="I112" s="6">
        <v>2022</v>
      </c>
      <c r="J112" s="6" t="s">
        <v>234</v>
      </c>
      <c r="K112" s="6">
        <v>12</v>
      </c>
      <c r="L112" s="46">
        <v>295179.55</v>
      </c>
    </row>
    <row r="113" spans="1:12" x14ac:dyDescent="0.25">
      <c r="A113" s="5" t="s">
        <v>266</v>
      </c>
      <c r="B113" s="17">
        <v>10113</v>
      </c>
      <c r="C113" s="17" t="s">
        <v>5</v>
      </c>
      <c r="D113" s="17">
        <v>1</v>
      </c>
      <c r="E113" s="17" t="s">
        <v>1</v>
      </c>
      <c r="F113" s="17">
        <v>11</v>
      </c>
      <c r="G113" s="16" t="s">
        <v>9</v>
      </c>
      <c r="H113" s="17" t="s">
        <v>200</v>
      </c>
      <c r="I113" s="17">
        <v>2022</v>
      </c>
      <c r="J113" s="17" t="s">
        <v>234</v>
      </c>
      <c r="K113" s="17">
        <v>12</v>
      </c>
      <c r="L113" s="47">
        <v>11131.29</v>
      </c>
    </row>
    <row r="114" spans="1:12" x14ac:dyDescent="0.25">
      <c r="A114" s="5" t="s">
        <v>266</v>
      </c>
      <c r="B114" s="6">
        <v>10113</v>
      </c>
      <c r="C114" s="6" t="s">
        <v>5</v>
      </c>
      <c r="D114" s="6">
        <v>1</v>
      </c>
      <c r="E114" s="6" t="s">
        <v>1</v>
      </c>
      <c r="F114" s="6">
        <v>11</v>
      </c>
      <c r="G114" s="5" t="s">
        <v>7</v>
      </c>
      <c r="H114" s="6" t="s">
        <v>201</v>
      </c>
      <c r="I114" s="6">
        <v>2022</v>
      </c>
      <c r="J114" s="6" t="s">
        <v>234</v>
      </c>
      <c r="K114" s="6">
        <v>12</v>
      </c>
      <c r="L114" s="46">
        <v>20144.77</v>
      </c>
    </row>
    <row r="115" spans="1:12" x14ac:dyDescent="0.25">
      <c r="A115" s="5" t="s">
        <v>266</v>
      </c>
      <c r="B115" s="17">
        <v>10113</v>
      </c>
      <c r="C115" s="17" t="s">
        <v>5</v>
      </c>
      <c r="D115" s="17">
        <v>1</v>
      </c>
      <c r="E115" s="17" t="s">
        <v>1</v>
      </c>
      <c r="F115" s="17">
        <v>11</v>
      </c>
      <c r="G115" s="16" t="s">
        <v>10</v>
      </c>
      <c r="H115" s="17" t="s">
        <v>199</v>
      </c>
      <c r="I115" s="17">
        <v>2022</v>
      </c>
      <c r="J115" s="17" t="s">
        <v>234</v>
      </c>
      <c r="K115" s="17">
        <v>12</v>
      </c>
      <c r="L115" s="47">
        <v>14608.78</v>
      </c>
    </row>
    <row r="116" spans="1:12" x14ac:dyDescent="0.25">
      <c r="A116" s="5" t="s">
        <v>266</v>
      </c>
      <c r="B116" s="6">
        <v>10113</v>
      </c>
      <c r="C116" s="6" t="s">
        <v>5</v>
      </c>
      <c r="D116" s="6">
        <v>1</v>
      </c>
      <c r="E116" s="6" t="s">
        <v>1</v>
      </c>
      <c r="F116" s="6">
        <v>11</v>
      </c>
      <c r="G116" s="5" t="s">
        <v>11</v>
      </c>
      <c r="H116" s="6" t="s">
        <v>202</v>
      </c>
      <c r="I116" s="6">
        <v>2022</v>
      </c>
      <c r="J116" s="6" t="s">
        <v>234</v>
      </c>
      <c r="K116" s="6">
        <v>12</v>
      </c>
      <c r="L116" s="46">
        <v>32926.81</v>
      </c>
    </row>
    <row r="117" spans="1:12" x14ac:dyDescent="0.25">
      <c r="A117" s="5" t="s">
        <v>266</v>
      </c>
      <c r="B117" s="17">
        <v>10113</v>
      </c>
      <c r="C117" s="17" t="s">
        <v>5</v>
      </c>
      <c r="D117" s="17">
        <v>1</v>
      </c>
      <c r="E117" s="17" t="s">
        <v>1</v>
      </c>
      <c r="F117" s="17">
        <v>11</v>
      </c>
      <c r="G117" s="16" t="s">
        <v>12</v>
      </c>
      <c r="H117" s="17" t="s">
        <v>205</v>
      </c>
      <c r="I117" s="17">
        <v>2022</v>
      </c>
      <c r="J117" s="17" t="s">
        <v>234</v>
      </c>
      <c r="K117" s="17">
        <v>12</v>
      </c>
      <c r="L117" s="47">
        <v>28594.38</v>
      </c>
    </row>
    <row r="118" spans="1:12" x14ac:dyDescent="0.25">
      <c r="A118" s="5" t="s">
        <v>266</v>
      </c>
      <c r="B118" s="6">
        <v>10113</v>
      </c>
      <c r="C118" s="6" t="s">
        <v>5</v>
      </c>
      <c r="D118" s="6">
        <v>1</v>
      </c>
      <c r="E118" s="6" t="s">
        <v>1</v>
      </c>
      <c r="F118" s="6">
        <v>11</v>
      </c>
      <c r="G118" s="5" t="s">
        <v>18</v>
      </c>
      <c r="H118" s="6" t="s">
        <v>203</v>
      </c>
      <c r="I118" s="6">
        <v>2022</v>
      </c>
      <c r="J118" s="6" t="s">
        <v>234</v>
      </c>
      <c r="K118" s="6">
        <v>12</v>
      </c>
      <c r="L118" s="50">
        <v>6213.45</v>
      </c>
    </row>
    <row r="119" spans="1:12" x14ac:dyDescent="0.25">
      <c r="A119" s="5" t="s">
        <v>266</v>
      </c>
      <c r="B119" s="17">
        <v>10113</v>
      </c>
      <c r="C119" s="17" t="s">
        <v>5</v>
      </c>
      <c r="D119" s="17">
        <v>1</v>
      </c>
      <c r="E119" s="17" t="s">
        <v>3</v>
      </c>
      <c r="F119" s="17">
        <v>12</v>
      </c>
      <c r="G119" s="16" t="s">
        <v>8</v>
      </c>
      <c r="H119" s="17" t="s">
        <v>206</v>
      </c>
      <c r="I119" s="17">
        <v>2022</v>
      </c>
      <c r="J119" s="17" t="s">
        <v>234</v>
      </c>
      <c r="K119" s="17">
        <v>12</v>
      </c>
      <c r="L119" s="47">
        <v>155767.5</v>
      </c>
    </row>
    <row r="120" spans="1:12" x14ac:dyDescent="0.25">
      <c r="A120" s="5" t="s">
        <v>266</v>
      </c>
      <c r="B120" s="6">
        <v>10113</v>
      </c>
      <c r="C120" s="6" t="s">
        <v>20</v>
      </c>
      <c r="D120" s="6">
        <v>2</v>
      </c>
      <c r="E120" s="6" t="s">
        <v>4</v>
      </c>
      <c r="F120" s="6">
        <v>21</v>
      </c>
      <c r="G120" s="5" t="s">
        <v>13</v>
      </c>
      <c r="H120" s="6" t="s">
        <v>204</v>
      </c>
      <c r="I120" s="6">
        <v>2022</v>
      </c>
      <c r="J120" s="6" t="s">
        <v>234</v>
      </c>
      <c r="K120" s="6">
        <v>12</v>
      </c>
      <c r="L120" s="46">
        <v>635787.41</v>
      </c>
    </row>
    <row r="121" spans="1:12" x14ac:dyDescent="0.25">
      <c r="A121" s="5" t="s">
        <v>266</v>
      </c>
      <c r="B121" s="17">
        <v>10113</v>
      </c>
      <c r="C121" s="17" t="s">
        <v>20</v>
      </c>
      <c r="D121" s="17">
        <v>2</v>
      </c>
      <c r="E121" s="17" t="s">
        <v>4</v>
      </c>
      <c r="F121" s="17">
        <v>21</v>
      </c>
      <c r="G121" s="16" t="s">
        <v>14</v>
      </c>
      <c r="H121" s="17" t="s">
        <v>207</v>
      </c>
      <c r="I121" s="17">
        <v>2022</v>
      </c>
      <c r="J121" s="17" t="s">
        <v>234</v>
      </c>
      <c r="K121" s="17">
        <v>12</v>
      </c>
      <c r="L121" s="47">
        <v>60868.27</v>
      </c>
    </row>
    <row r="122" spans="1:12" x14ac:dyDescent="0.25">
      <c r="A122" s="5" t="s">
        <v>266</v>
      </c>
      <c r="B122" s="6">
        <v>10113</v>
      </c>
      <c r="C122" s="6" t="s">
        <v>5</v>
      </c>
      <c r="D122" s="6">
        <v>1</v>
      </c>
      <c r="E122" s="6" t="s">
        <v>1</v>
      </c>
      <c r="F122" s="6">
        <v>11</v>
      </c>
      <c r="G122" s="5" t="s">
        <v>6</v>
      </c>
      <c r="H122" s="6" t="s">
        <v>199</v>
      </c>
      <c r="I122" s="6">
        <v>2023</v>
      </c>
      <c r="J122" s="6" t="s">
        <v>179</v>
      </c>
      <c r="K122" s="6">
        <v>1</v>
      </c>
      <c r="L122" s="50">
        <v>225688.49</v>
      </c>
    </row>
    <row r="123" spans="1:12" x14ac:dyDescent="0.25">
      <c r="A123" s="5" t="s">
        <v>266</v>
      </c>
      <c r="B123" s="17">
        <v>10113</v>
      </c>
      <c r="C123" s="17" t="s">
        <v>5</v>
      </c>
      <c r="D123" s="17">
        <v>1</v>
      </c>
      <c r="E123" s="17" t="s">
        <v>1</v>
      </c>
      <c r="F123" s="17">
        <v>11</v>
      </c>
      <c r="G123" s="16" t="s">
        <v>9</v>
      </c>
      <c r="H123" s="17" t="s">
        <v>200</v>
      </c>
      <c r="I123" s="17">
        <v>2023</v>
      </c>
      <c r="J123" s="17" t="s">
        <v>179</v>
      </c>
      <c r="K123" s="17">
        <v>1</v>
      </c>
      <c r="L123" s="47">
        <v>11572.75</v>
      </c>
    </row>
    <row r="124" spans="1:12" x14ac:dyDescent="0.25">
      <c r="A124" s="5" t="s">
        <v>266</v>
      </c>
      <c r="B124" s="6">
        <v>10113</v>
      </c>
      <c r="C124" s="6" t="s">
        <v>5</v>
      </c>
      <c r="D124" s="6">
        <v>1</v>
      </c>
      <c r="E124" s="6" t="s">
        <v>1</v>
      </c>
      <c r="F124" s="6">
        <v>11</v>
      </c>
      <c r="G124" s="5" t="s">
        <v>7</v>
      </c>
      <c r="H124" s="6" t="s">
        <v>201</v>
      </c>
      <c r="I124" s="6">
        <v>2023</v>
      </c>
      <c r="J124" s="6" t="s">
        <v>179</v>
      </c>
      <c r="K124" s="6">
        <v>1</v>
      </c>
      <c r="L124" s="46">
        <v>18801.97</v>
      </c>
    </row>
    <row r="125" spans="1:12" x14ac:dyDescent="0.25">
      <c r="A125" s="5" t="s">
        <v>266</v>
      </c>
      <c r="B125" s="17">
        <v>10113</v>
      </c>
      <c r="C125" s="17" t="s">
        <v>5</v>
      </c>
      <c r="D125" s="17">
        <v>1</v>
      </c>
      <c r="E125" s="17" t="s">
        <v>1</v>
      </c>
      <c r="F125" s="17">
        <v>11</v>
      </c>
      <c r="G125" s="16" t="s">
        <v>10</v>
      </c>
      <c r="H125" s="17" t="s">
        <v>199</v>
      </c>
      <c r="I125" s="17">
        <v>2023</v>
      </c>
      <c r="J125" s="17" t="s">
        <v>179</v>
      </c>
      <c r="K125" s="17">
        <v>1</v>
      </c>
      <c r="L125" s="47">
        <v>7180.93</v>
      </c>
    </row>
    <row r="126" spans="1:12" x14ac:dyDescent="0.25">
      <c r="A126" s="5" t="s">
        <v>266</v>
      </c>
      <c r="B126" s="6">
        <v>10113</v>
      </c>
      <c r="C126" s="6" t="s">
        <v>5</v>
      </c>
      <c r="D126" s="6">
        <v>1</v>
      </c>
      <c r="E126" s="6" t="s">
        <v>1</v>
      </c>
      <c r="F126" s="6">
        <v>11</v>
      </c>
      <c r="G126" s="5" t="s">
        <v>11</v>
      </c>
      <c r="H126" s="6" t="s">
        <v>202</v>
      </c>
      <c r="I126" s="6">
        <v>2023</v>
      </c>
      <c r="J126" s="6" t="s">
        <v>179</v>
      </c>
      <c r="K126" s="6">
        <v>1</v>
      </c>
      <c r="L126" s="46">
        <v>29053.69</v>
      </c>
    </row>
    <row r="127" spans="1:12" x14ac:dyDescent="0.25">
      <c r="A127" s="5" t="s">
        <v>266</v>
      </c>
      <c r="B127" s="17">
        <v>10113</v>
      </c>
      <c r="C127" s="17" t="s">
        <v>5</v>
      </c>
      <c r="D127" s="17">
        <v>1</v>
      </c>
      <c r="E127" s="17" t="s">
        <v>1</v>
      </c>
      <c r="F127" s="17">
        <v>11</v>
      </c>
      <c r="G127" s="16" t="s">
        <v>12</v>
      </c>
      <c r="H127" s="17" t="s">
        <v>205</v>
      </c>
      <c r="I127" s="17">
        <v>2023</v>
      </c>
      <c r="J127" s="17" t="s">
        <v>179</v>
      </c>
      <c r="K127" s="17">
        <v>1</v>
      </c>
      <c r="L127" s="47">
        <v>24696.83</v>
      </c>
    </row>
    <row r="128" spans="1:12" x14ac:dyDescent="0.25">
      <c r="A128" s="5" t="s">
        <v>266</v>
      </c>
      <c r="B128" s="6">
        <v>10113</v>
      </c>
      <c r="C128" s="6" t="s">
        <v>5</v>
      </c>
      <c r="D128" s="6">
        <v>1</v>
      </c>
      <c r="E128" s="6" t="s">
        <v>1</v>
      </c>
      <c r="F128" s="6">
        <v>11</v>
      </c>
      <c r="G128" s="5" t="s">
        <v>18</v>
      </c>
      <c r="H128" s="6" t="s">
        <v>203</v>
      </c>
      <c r="I128" s="6">
        <v>2023</v>
      </c>
      <c r="J128" s="6" t="s">
        <v>179</v>
      </c>
      <c r="K128" s="6">
        <v>1</v>
      </c>
      <c r="L128" s="46">
        <v>7628.46</v>
      </c>
    </row>
    <row r="129" spans="1:12" x14ac:dyDescent="0.25">
      <c r="A129" s="5" t="s">
        <v>266</v>
      </c>
      <c r="B129" s="17">
        <v>10113</v>
      </c>
      <c r="C129" s="17" t="s">
        <v>5</v>
      </c>
      <c r="D129" s="17">
        <v>1</v>
      </c>
      <c r="E129" s="17" t="s">
        <v>3</v>
      </c>
      <c r="F129" s="17">
        <v>12</v>
      </c>
      <c r="G129" s="16" t="s">
        <v>8</v>
      </c>
      <c r="H129" s="17" t="s">
        <v>206</v>
      </c>
      <c r="I129" s="17">
        <v>2023</v>
      </c>
      <c r="J129" s="17" t="s">
        <v>179</v>
      </c>
      <c r="K129" s="17">
        <v>1</v>
      </c>
      <c r="L129" s="47">
        <v>2980.4</v>
      </c>
    </row>
    <row r="130" spans="1:12" x14ac:dyDescent="0.25">
      <c r="A130" s="5" t="s">
        <v>266</v>
      </c>
      <c r="B130" s="6">
        <v>10113</v>
      </c>
      <c r="C130" s="6" t="s">
        <v>20</v>
      </c>
      <c r="D130" s="6">
        <v>2</v>
      </c>
      <c r="E130" s="6" t="s">
        <v>4</v>
      </c>
      <c r="F130" s="6">
        <v>21</v>
      </c>
      <c r="G130" s="5" t="s">
        <v>13</v>
      </c>
      <c r="H130" s="6" t="s">
        <v>204</v>
      </c>
      <c r="I130" s="6">
        <v>2023</v>
      </c>
      <c r="J130" s="6" t="s">
        <v>179</v>
      </c>
      <c r="K130" s="6">
        <v>1</v>
      </c>
      <c r="L130" s="46">
        <v>286576.96000000002</v>
      </c>
    </row>
    <row r="131" spans="1:12" x14ac:dyDescent="0.25">
      <c r="A131" s="5" t="s">
        <v>266</v>
      </c>
      <c r="B131" s="17">
        <v>10113</v>
      </c>
      <c r="C131" s="17" t="s">
        <v>20</v>
      </c>
      <c r="D131" s="17">
        <v>2</v>
      </c>
      <c r="E131" s="17" t="s">
        <v>4</v>
      </c>
      <c r="F131" s="17">
        <v>21</v>
      </c>
      <c r="G131" s="16" t="s">
        <v>14</v>
      </c>
      <c r="H131" s="17" t="s">
        <v>207</v>
      </c>
      <c r="I131" s="17">
        <v>2023</v>
      </c>
      <c r="J131" s="17" t="s">
        <v>179</v>
      </c>
      <c r="K131" s="17">
        <v>1</v>
      </c>
      <c r="L131" s="47">
        <v>0</v>
      </c>
    </row>
    <row r="132" spans="1:12" x14ac:dyDescent="0.25">
      <c r="A132" s="5" t="s">
        <v>266</v>
      </c>
      <c r="B132" s="6">
        <v>10113</v>
      </c>
      <c r="C132" s="6" t="s">
        <v>5</v>
      </c>
      <c r="D132" s="6">
        <v>1</v>
      </c>
      <c r="E132" s="6" t="s">
        <v>1</v>
      </c>
      <c r="F132" s="6">
        <v>11</v>
      </c>
      <c r="G132" s="5" t="s">
        <v>6</v>
      </c>
      <c r="H132" s="6" t="s">
        <v>199</v>
      </c>
      <c r="I132" s="6">
        <v>2023</v>
      </c>
      <c r="J132" s="6" t="s">
        <v>180</v>
      </c>
      <c r="K132" s="6">
        <v>2</v>
      </c>
      <c r="L132" s="46">
        <v>253262.66</v>
      </c>
    </row>
    <row r="133" spans="1:12" x14ac:dyDescent="0.25">
      <c r="A133" s="5" t="s">
        <v>266</v>
      </c>
      <c r="B133" s="17">
        <v>10113</v>
      </c>
      <c r="C133" s="17" t="s">
        <v>5</v>
      </c>
      <c r="D133" s="17">
        <v>1</v>
      </c>
      <c r="E133" s="17" t="s">
        <v>1</v>
      </c>
      <c r="F133" s="17">
        <v>11</v>
      </c>
      <c r="G133" s="16" t="s">
        <v>9</v>
      </c>
      <c r="H133" s="17" t="s">
        <v>200</v>
      </c>
      <c r="I133" s="17">
        <v>2023</v>
      </c>
      <c r="J133" s="17" t="s">
        <v>180</v>
      </c>
      <c r="K133" s="17">
        <v>2</v>
      </c>
      <c r="L133" s="47">
        <v>12019.14</v>
      </c>
    </row>
    <row r="134" spans="1:12" x14ac:dyDescent="0.25">
      <c r="A134" s="5" t="s">
        <v>266</v>
      </c>
      <c r="B134" s="6">
        <v>10113</v>
      </c>
      <c r="C134" s="6" t="s">
        <v>5</v>
      </c>
      <c r="D134" s="6">
        <v>1</v>
      </c>
      <c r="E134" s="6" t="s">
        <v>1</v>
      </c>
      <c r="F134" s="6">
        <v>11</v>
      </c>
      <c r="G134" s="5" t="s">
        <v>7</v>
      </c>
      <c r="H134" s="6" t="s">
        <v>201</v>
      </c>
      <c r="I134" s="6">
        <v>2023</v>
      </c>
      <c r="J134" s="6" t="s">
        <v>180</v>
      </c>
      <c r="K134" s="6">
        <v>2</v>
      </c>
      <c r="L134" s="46">
        <v>19609.810000000001</v>
      </c>
    </row>
    <row r="135" spans="1:12" x14ac:dyDescent="0.25">
      <c r="A135" s="5" t="s">
        <v>266</v>
      </c>
      <c r="B135" s="17">
        <v>10113</v>
      </c>
      <c r="C135" s="17" t="s">
        <v>5</v>
      </c>
      <c r="D135" s="17">
        <v>1</v>
      </c>
      <c r="E135" s="17" t="s">
        <v>1</v>
      </c>
      <c r="F135" s="17">
        <v>11</v>
      </c>
      <c r="G135" s="16" t="s">
        <v>10</v>
      </c>
      <c r="H135" s="17" t="s">
        <v>199</v>
      </c>
      <c r="I135" s="17">
        <v>2023</v>
      </c>
      <c r="J135" s="17" t="s">
        <v>180</v>
      </c>
      <c r="K135" s="17">
        <v>2</v>
      </c>
      <c r="L135" s="47">
        <v>7473.86</v>
      </c>
    </row>
    <row r="136" spans="1:12" x14ac:dyDescent="0.25">
      <c r="A136" s="5" t="s">
        <v>266</v>
      </c>
      <c r="B136" s="6">
        <v>10113</v>
      </c>
      <c r="C136" s="6" t="s">
        <v>5</v>
      </c>
      <c r="D136" s="6">
        <v>1</v>
      </c>
      <c r="E136" s="6" t="s">
        <v>1</v>
      </c>
      <c r="F136" s="6">
        <v>11</v>
      </c>
      <c r="G136" s="5" t="s">
        <v>11</v>
      </c>
      <c r="H136" s="6" t="s">
        <v>202</v>
      </c>
      <c r="I136" s="6">
        <v>2023</v>
      </c>
      <c r="J136" s="6" t="s">
        <v>180</v>
      </c>
      <c r="K136" s="6">
        <v>2</v>
      </c>
      <c r="L136" s="50">
        <v>30374.13</v>
      </c>
    </row>
    <row r="137" spans="1:12" x14ac:dyDescent="0.25">
      <c r="A137" s="5" t="s">
        <v>266</v>
      </c>
      <c r="B137" s="17">
        <v>10113</v>
      </c>
      <c r="C137" s="17" t="s">
        <v>5</v>
      </c>
      <c r="D137" s="17">
        <v>1</v>
      </c>
      <c r="E137" s="17" t="s">
        <v>1</v>
      </c>
      <c r="F137" s="17">
        <v>11</v>
      </c>
      <c r="G137" s="16" t="s">
        <v>12</v>
      </c>
      <c r="H137" s="17" t="s">
        <v>205</v>
      </c>
      <c r="I137" s="17">
        <v>2023</v>
      </c>
      <c r="J137" s="17" t="s">
        <v>180</v>
      </c>
      <c r="K137" s="17">
        <v>2</v>
      </c>
      <c r="L137" s="47">
        <v>25799.42</v>
      </c>
    </row>
    <row r="138" spans="1:12" x14ac:dyDescent="0.25">
      <c r="A138" s="5" t="s">
        <v>266</v>
      </c>
      <c r="B138" s="6">
        <v>10113</v>
      </c>
      <c r="C138" s="6" t="s">
        <v>5</v>
      </c>
      <c r="D138" s="6">
        <v>1</v>
      </c>
      <c r="E138" s="6" t="s">
        <v>1</v>
      </c>
      <c r="F138" s="6">
        <v>11</v>
      </c>
      <c r="G138" s="5" t="s">
        <v>18</v>
      </c>
      <c r="H138" s="6" t="s">
        <v>203</v>
      </c>
      <c r="I138" s="6">
        <v>2023</v>
      </c>
      <c r="J138" s="6" t="s">
        <v>180</v>
      </c>
      <c r="K138" s="6">
        <v>2</v>
      </c>
      <c r="L138" s="46">
        <v>7877.63</v>
      </c>
    </row>
    <row r="139" spans="1:12" x14ac:dyDescent="0.25">
      <c r="A139" s="5" t="s">
        <v>266</v>
      </c>
      <c r="B139" s="17">
        <v>10113</v>
      </c>
      <c r="C139" s="17" t="s">
        <v>5</v>
      </c>
      <c r="D139" s="17">
        <v>1</v>
      </c>
      <c r="E139" s="17" t="s">
        <v>3</v>
      </c>
      <c r="F139" s="17">
        <v>12</v>
      </c>
      <c r="G139" s="16" t="s">
        <v>8</v>
      </c>
      <c r="H139" s="17" t="s">
        <v>206</v>
      </c>
      <c r="I139" s="17">
        <v>2023</v>
      </c>
      <c r="J139" s="17" t="s">
        <v>180</v>
      </c>
      <c r="K139" s="17">
        <v>2</v>
      </c>
      <c r="L139" s="47">
        <v>6934.01</v>
      </c>
    </row>
    <row r="140" spans="1:12" x14ac:dyDescent="0.25">
      <c r="A140" s="5" t="s">
        <v>266</v>
      </c>
      <c r="B140" s="6">
        <v>10113</v>
      </c>
      <c r="C140" s="6" t="s">
        <v>20</v>
      </c>
      <c r="D140" s="6">
        <v>2</v>
      </c>
      <c r="E140" s="6" t="s">
        <v>4</v>
      </c>
      <c r="F140" s="6">
        <v>21</v>
      </c>
      <c r="G140" s="5" t="s">
        <v>13</v>
      </c>
      <c r="H140" s="6" t="s">
        <v>204</v>
      </c>
      <c r="I140" s="6">
        <v>2023</v>
      </c>
      <c r="J140" s="6" t="s">
        <v>180</v>
      </c>
      <c r="K140" s="6">
        <v>2</v>
      </c>
      <c r="L140" s="46">
        <v>508629.94</v>
      </c>
    </row>
    <row r="141" spans="1:12" x14ac:dyDescent="0.25">
      <c r="A141" s="5" t="s">
        <v>266</v>
      </c>
      <c r="B141" s="17">
        <v>10113</v>
      </c>
      <c r="C141" s="17" t="s">
        <v>20</v>
      </c>
      <c r="D141" s="17">
        <v>2</v>
      </c>
      <c r="E141" s="17" t="s">
        <v>4</v>
      </c>
      <c r="F141" s="17">
        <v>21</v>
      </c>
      <c r="G141" s="16" t="s">
        <v>14</v>
      </c>
      <c r="H141" s="17" t="s">
        <v>207</v>
      </c>
      <c r="I141" s="17">
        <v>2023</v>
      </c>
      <c r="J141" s="17" t="s">
        <v>180</v>
      </c>
      <c r="K141" s="17">
        <v>2</v>
      </c>
      <c r="L141" s="47">
        <v>0</v>
      </c>
    </row>
    <row r="142" spans="1:12" x14ac:dyDescent="0.25">
      <c r="A142" s="5" t="s">
        <v>267</v>
      </c>
      <c r="B142" s="6">
        <v>10110</v>
      </c>
      <c r="C142" s="6" t="s">
        <v>5</v>
      </c>
      <c r="D142" s="6">
        <v>1</v>
      </c>
      <c r="E142" s="6" t="s">
        <v>1</v>
      </c>
      <c r="F142" s="6">
        <v>11</v>
      </c>
      <c r="G142" s="5" t="s">
        <v>6</v>
      </c>
      <c r="H142" s="6" t="s">
        <v>199</v>
      </c>
      <c r="I142" s="6">
        <v>2022</v>
      </c>
      <c r="J142" s="6" t="s">
        <v>179</v>
      </c>
      <c r="K142" s="6">
        <v>1</v>
      </c>
      <c r="L142" s="46">
        <v>53098.13</v>
      </c>
    </row>
    <row r="143" spans="1:12" x14ac:dyDescent="0.25">
      <c r="A143" s="5" t="s">
        <v>267</v>
      </c>
      <c r="B143" s="17">
        <v>10110</v>
      </c>
      <c r="C143" s="17" t="s">
        <v>5</v>
      </c>
      <c r="D143" s="17">
        <v>1</v>
      </c>
      <c r="E143" s="17" t="s">
        <v>1</v>
      </c>
      <c r="F143" s="17">
        <v>11</v>
      </c>
      <c r="G143" s="16" t="s">
        <v>9</v>
      </c>
      <c r="H143" s="17" t="s">
        <v>200</v>
      </c>
      <c r="I143" s="17">
        <v>2022</v>
      </c>
      <c r="J143" s="17" t="s">
        <v>179</v>
      </c>
      <c r="K143" s="17">
        <v>1</v>
      </c>
      <c r="L143" s="47">
        <v>1239.96</v>
      </c>
    </row>
    <row r="144" spans="1:12" x14ac:dyDescent="0.25">
      <c r="A144" s="5" t="s">
        <v>267</v>
      </c>
      <c r="B144" s="6">
        <v>10110</v>
      </c>
      <c r="C144" s="6" t="s">
        <v>5</v>
      </c>
      <c r="D144" s="6">
        <v>1</v>
      </c>
      <c r="E144" s="6" t="s">
        <v>1</v>
      </c>
      <c r="F144" s="6">
        <v>11</v>
      </c>
      <c r="G144" s="5" t="s">
        <v>7</v>
      </c>
      <c r="H144" s="6" t="s">
        <v>201</v>
      </c>
      <c r="I144" s="6">
        <v>2022</v>
      </c>
      <c r="J144" s="6" t="s">
        <v>179</v>
      </c>
      <c r="K144" s="6">
        <v>1</v>
      </c>
      <c r="L144" s="46">
        <v>2244.02</v>
      </c>
    </row>
    <row r="145" spans="1:12" x14ac:dyDescent="0.25">
      <c r="A145" s="5" t="s">
        <v>267</v>
      </c>
      <c r="B145" s="17">
        <v>10110</v>
      </c>
      <c r="C145" s="17" t="s">
        <v>5</v>
      </c>
      <c r="D145" s="17">
        <v>1</v>
      </c>
      <c r="E145" s="17" t="s">
        <v>1</v>
      </c>
      <c r="F145" s="17">
        <v>11</v>
      </c>
      <c r="G145" s="16" t="s">
        <v>10</v>
      </c>
      <c r="H145" s="17" t="s">
        <v>199</v>
      </c>
      <c r="I145" s="17">
        <v>2022</v>
      </c>
      <c r="J145" s="17" t="s">
        <v>179</v>
      </c>
      <c r="K145" s="17">
        <v>1</v>
      </c>
      <c r="L145" s="47">
        <v>1627.34</v>
      </c>
    </row>
    <row r="146" spans="1:12" x14ac:dyDescent="0.25">
      <c r="A146" s="5" t="s">
        <v>267</v>
      </c>
      <c r="B146" s="6">
        <v>10110</v>
      </c>
      <c r="C146" s="6" t="s">
        <v>5</v>
      </c>
      <c r="D146" s="6">
        <v>1</v>
      </c>
      <c r="E146" s="6" t="s">
        <v>1</v>
      </c>
      <c r="F146" s="6">
        <v>11</v>
      </c>
      <c r="G146" s="5" t="s">
        <v>11</v>
      </c>
      <c r="H146" s="6" t="s">
        <v>202</v>
      </c>
      <c r="I146" s="6">
        <v>2022</v>
      </c>
      <c r="J146" s="6" t="s">
        <v>179</v>
      </c>
      <c r="K146" s="6">
        <v>1</v>
      </c>
      <c r="L146" s="46">
        <v>3667.88</v>
      </c>
    </row>
    <row r="147" spans="1:12" x14ac:dyDescent="0.25">
      <c r="A147" s="5" t="s">
        <v>267</v>
      </c>
      <c r="B147" s="17">
        <v>10110</v>
      </c>
      <c r="C147" s="17" t="s">
        <v>5</v>
      </c>
      <c r="D147" s="17">
        <v>1</v>
      </c>
      <c r="E147" s="17" t="s">
        <v>1</v>
      </c>
      <c r="F147" s="17">
        <v>11</v>
      </c>
      <c r="G147" s="16" t="s">
        <v>12</v>
      </c>
      <c r="H147" s="17" t="s">
        <v>205</v>
      </c>
      <c r="I147" s="17">
        <v>2022</v>
      </c>
      <c r="J147" s="17" t="s">
        <v>179</v>
      </c>
      <c r="K147" s="17">
        <v>1</v>
      </c>
      <c r="L147" s="47">
        <v>3062.75</v>
      </c>
    </row>
    <row r="148" spans="1:12" x14ac:dyDescent="0.25">
      <c r="A148" s="5" t="s">
        <v>267</v>
      </c>
      <c r="B148" s="6">
        <v>10110</v>
      </c>
      <c r="C148" s="6" t="s">
        <v>5</v>
      </c>
      <c r="D148" s="6">
        <v>1</v>
      </c>
      <c r="E148" s="6" t="s">
        <v>1</v>
      </c>
      <c r="F148" s="6">
        <v>11</v>
      </c>
      <c r="G148" s="5" t="s">
        <v>18</v>
      </c>
      <c r="H148" s="6" t="s">
        <v>203</v>
      </c>
      <c r="I148" s="6">
        <v>2022</v>
      </c>
      <c r="J148" s="6" t="s">
        <v>179</v>
      </c>
      <c r="K148" s="6">
        <v>1</v>
      </c>
      <c r="L148" s="46">
        <v>692.15</v>
      </c>
    </row>
    <row r="149" spans="1:12" x14ac:dyDescent="0.25">
      <c r="A149" s="5" t="s">
        <v>267</v>
      </c>
      <c r="B149" s="17">
        <v>10110</v>
      </c>
      <c r="C149" s="17" t="s">
        <v>5</v>
      </c>
      <c r="D149" s="17">
        <v>1</v>
      </c>
      <c r="E149" s="17" t="s">
        <v>3</v>
      </c>
      <c r="F149" s="17">
        <v>12</v>
      </c>
      <c r="G149" s="16" t="s">
        <v>8</v>
      </c>
      <c r="H149" s="17" t="s">
        <v>206</v>
      </c>
      <c r="I149" s="17">
        <v>2022</v>
      </c>
      <c r="J149" s="17" t="s">
        <v>179</v>
      </c>
      <c r="K149" s="17">
        <v>1</v>
      </c>
      <c r="L149" s="47">
        <v>483.85</v>
      </c>
    </row>
    <row r="150" spans="1:12" x14ac:dyDescent="0.25">
      <c r="A150" s="5" t="s">
        <v>267</v>
      </c>
      <c r="B150" s="6">
        <v>10110</v>
      </c>
      <c r="C150" s="6" t="s">
        <v>20</v>
      </c>
      <c r="D150" s="6">
        <v>2</v>
      </c>
      <c r="E150" s="6" t="s">
        <v>4</v>
      </c>
      <c r="F150" s="6">
        <v>21</v>
      </c>
      <c r="G150" s="5" t="s">
        <v>13</v>
      </c>
      <c r="H150" s="6" t="s">
        <v>204</v>
      </c>
      <c r="I150" s="6">
        <v>2022</v>
      </c>
      <c r="J150" s="6" t="s">
        <v>179</v>
      </c>
      <c r="K150" s="6">
        <v>1</v>
      </c>
      <c r="L150" s="50">
        <v>86775.44</v>
      </c>
    </row>
    <row r="151" spans="1:12" x14ac:dyDescent="0.25">
      <c r="A151" s="5" t="s">
        <v>267</v>
      </c>
      <c r="B151" s="17">
        <v>10110</v>
      </c>
      <c r="C151" s="17" t="s">
        <v>20</v>
      </c>
      <c r="D151" s="17">
        <v>2</v>
      </c>
      <c r="E151" s="17" t="s">
        <v>4</v>
      </c>
      <c r="F151" s="17">
        <v>21</v>
      </c>
      <c r="G151" s="16" t="s">
        <v>14</v>
      </c>
      <c r="H151" s="17" t="s">
        <v>207</v>
      </c>
      <c r="I151" s="17">
        <v>2022</v>
      </c>
      <c r="J151" s="17" t="s">
        <v>179</v>
      </c>
      <c r="K151" s="17">
        <v>1</v>
      </c>
      <c r="L151" s="47">
        <v>4699.12</v>
      </c>
    </row>
    <row r="152" spans="1:12" x14ac:dyDescent="0.25">
      <c r="A152" s="5" t="s">
        <v>267</v>
      </c>
      <c r="B152" s="6">
        <v>10110</v>
      </c>
      <c r="C152" s="6" t="s">
        <v>5</v>
      </c>
      <c r="D152" s="6">
        <v>1</v>
      </c>
      <c r="E152" s="6" t="s">
        <v>1</v>
      </c>
      <c r="F152" s="6">
        <v>11</v>
      </c>
      <c r="G152" s="5" t="s">
        <v>6</v>
      </c>
      <c r="H152" s="6" t="s">
        <v>199</v>
      </c>
      <c r="I152" s="6">
        <v>2022</v>
      </c>
      <c r="J152" s="6" t="s">
        <v>180</v>
      </c>
      <c r="K152" s="6">
        <v>2</v>
      </c>
      <c r="L152" s="46">
        <v>53098.13</v>
      </c>
    </row>
    <row r="153" spans="1:12" x14ac:dyDescent="0.25">
      <c r="A153" s="5" t="s">
        <v>267</v>
      </c>
      <c r="B153" s="17">
        <v>10110</v>
      </c>
      <c r="C153" s="17" t="s">
        <v>5</v>
      </c>
      <c r="D153" s="17">
        <v>1</v>
      </c>
      <c r="E153" s="17" t="s">
        <v>1</v>
      </c>
      <c r="F153" s="17">
        <v>11</v>
      </c>
      <c r="G153" s="16" t="s">
        <v>9</v>
      </c>
      <c r="H153" s="17" t="s">
        <v>200</v>
      </c>
      <c r="I153" s="17">
        <v>2022</v>
      </c>
      <c r="J153" s="17" t="s">
        <v>180</v>
      </c>
      <c r="K153" s="17">
        <v>2</v>
      </c>
      <c r="L153" s="47">
        <v>1239.96</v>
      </c>
    </row>
    <row r="154" spans="1:12" x14ac:dyDescent="0.25">
      <c r="A154" s="5" t="s">
        <v>267</v>
      </c>
      <c r="B154" s="6">
        <v>10110</v>
      </c>
      <c r="C154" s="6" t="s">
        <v>5</v>
      </c>
      <c r="D154" s="6">
        <v>1</v>
      </c>
      <c r="E154" s="6" t="s">
        <v>1</v>
      </c>
      <c r="F154" s="6">
        <v>11</v>
      </c>
      <c r="G154" s="5" t="s">
        <v>7</v>
      </c>
      <c r="H154" s="6" t="s">
        <v>201</v>
      </c>
      <c r="I154" s="6">
        <v>2022</v>
      </c>
      <c r="J154" s="6" t="s">
        <v>180</v>
      </c>
      <c r="K154" s="6">
        <v>2</v>
      </c>
      <c r="L154" s="50">
        <v>2244.02</v>
      </c>
    </row>
    <row r="155" spans="1:12" x14ac:dyDescent="0.25">
      <c r="A155" s="5" t="s">
        <v>267</v>
      </c>
      <c r="B155" s="17">
        <v>10110</v>
      </c>
      <c r="C155" s="17" t="s">
        <v>5</v>
      </c>
      <c r="D155" s="17">
        <v>1</v>
      </c>
      <c r="E155" s="17" t="s">
        <v>1</v>
      </c>
      <c r="F155" s="17">
        <v>11</v>
      </c>
      <c r="G155" s="16" t="s">
        <v>10</v>
      </c>
      <c r="H155" s="17" t="s">
        <v>199</v>
      </c>
      <c r="I155" s="17">
        <v>2022</v>
      </c>
      <c r="J155" s="17" t="s">
        <v>180</v>
      </c>
      <c r="K155" s="17">
        <v>2</v>
      </c>
      <c r="L155" s="17">
        <v>1627.34</v>
      </c>
    </row>
    <row r="156" spans="1:12" x14ac:dyDescent="0.25">
      <c r="A156" s="5" t="s">
        <v>267</v>
      </c>
      <c r="B156" s="6">
        <v>10110</v>
      </c>
      <c r="C156" s="6" t="s">
        <v>5</v>
      </c>
      <c r="D156" s="6">
        <v>1</v>
      </c>
      <c r="E156" s="6" t="s">
        <v>1</v>
      </c>
      <c r="F156" s="6">
        <v>11</v>
      </c>
      <c r="G156" s="5" t="s">
        <v>11</v>
      </c>
      <c r="H156" s="6" t="s">
        <v>202</v>
      </c>
      <c r="I156" s="6">
        <v>2022</v>
      </c>
      <c r="J156" s="6" t="s">
        <v>180</v>
      </c>
      <c r="K156" s="6">
        <v>2</v>
      </c>
      <c r="L156" s="46">
        <v>3667.88</v>
      </c>
    </row>
    <row r="157" spans="1:12" x14ac:dyDescent="0.25">
      <c r="A157" s="5" t="s">
        <v>267</v>
      </c>
      <c r="B157" s="17">
        <v>10110</v>
      </c>
      <c r="C157" s="17" t="s">
        <v>5</v>
      </c>
      <c r="D157" s="17">
        <v>1</v>
      </c>
      <c r="E157" s="17" t="s">
        <v>1</v>
      </c>
      <c r="F157" s="17">
        <v>11</v>
      </c>
      <c r="G157" s="16" t="s">
        <v>12</v>
      </c>
      <c r="H157" s="17" t="s">
        <v>205</v>
      </c>
      <c r="I157" s="17">
        <v>2022</v>
      </c>
      <c r="J157" s="17" t="s">
        <v>180</v>
      </c>
      <c r="K157" s="17">
        <v>2</v>
      </c>
      <c r="L157" s="47">
        <v>3062.75</v>
      </c>
    </row>
    <row r="158" spans="1:12" x14ac:dyDescent="0.25">
      <c r="A158" s="5" t="s">
        <v>267</v>
      </c>
      <c r="B158" s="6">
        <v>10110</v>
      </c>
      <c r="C158" s="6" t="s">
        <v>5</v>
      </c>
      <c r="D158" s="6">
        <v>1</v>
      </c>
      <c r="E158" s="6" t="s">
        <v>1</v>
      </c>
      <c r="F158" s="6">
        <v>11</v>
      </c>
      <c r="G158" s="5" t="s">
        <v>18</v>
      </c>
      <c r="H158" s="6" t="s">
        <v>203</v>
      </c>
      <c r="I158" s="6">
        <v>2022</v>
      </c>
      <c r="J158" s="6" t="s">
        <v>180</v>
      </c>
      <c r="K158" s="6">
        <v>2</v>
      </c>
      <c r="L158" s="46">
        <v>692.15</v>
      </c>
    </row>
    <row r="159" spans="1:12" x14ac:dyDescent="0.25">
      <c r="A159" s="5" t="s">
        <v>267</v>
      </c>
      <c r="B159" s="17">
        <v>10110</v>
      </c>
      <c r="C159" s="17" t="s">
        <v>5</v>
      </c>
      <c r="D159" s="17">
        <v>1</v>
      </c>
      <c r="E159" s="17" t="s">
        <v>3</v>
      </c>
      <c r="F159" s="17">
        <v>12</v>
      </c>
      <c r="G159" s="16" t="s">
        <v>8</v>
      </c>
      <c r="H159" s="17" t="s">
        <v>206</v>
      </c>
      <c r="I159" s="17">
        <v>2022</v>
      </c>
      <c r="J159" s="17" t="s">
        <v>180</v>
      </c>
      <c r="K159" s="17">
        <v>2</v>
      </c>
      <c r="L159" s="47">
        <v>483.85</v>
      </c>
    </row>
    <row r="160" spans="1:12" x14ac:dyDescent="0.25">
      <c r="A160" s="5" t="s">
        <v>267</v>
      </c>
      <c r="B160" s="6">
        <v>10110</v>
      </c>
      <c r="C160" s="6" t="s">
        <v>20</v>
      </c>
      <c r="D160" s="6">
        <v>2</v>
      </c>
      <c r="E160" s="6" t="s">
        <v>4</v>
      </c>
      <c r="F160" s="6">
        <v>21</v>
      </c>
      <c r="G160" s="5" t="s">
        <v>13</v>
      </c>
      <c r="H160" s="6" t="s">
        <v>204</v>
      </c>
      <c r="I160" s="6">
        <v>2022</v>
      </c>
      <c r="J160" s="6" t="s">
        <v>180</v>
      </c>
      <c r="K160" s="6">
        <v>2</v>
      </c>
      <c r="L160" s="46">
        <v>86775.44</v>
      </c>
    </row>
    <row r="161" spans="1:12" x14ac:dyDescent="0.25">
      <c r="A161" s="5" t="s">
        <v>267</v>
      </c>
      <c r="B161" s="17">
        <v>10110</v>
      </c>
      <c r="C161" s="17" t="s">
        <v>20</v>
      </c>
      <c r="D161" s="17">
        <v>2</v>
      </c>
      <c r="E161" s="17" t="s">
        <v>4</v>
      </c>
      <c r="F161" s="17">
        <v>21</v>
      </c>
      <c r="G161" s="16" t="s">
        <v>14</v>
      </c>
      <c r="H161" s="17" t="s">
        <v>207</v>
      </c>
      <c r="I161" s="17">
        <v>2022</v>
      </c>
      <c r="J161" s="17" t="s">
        <v>180</v>
      </c>
      <c r="K161" s="17">
        <v>2</v>
      </c>
      <c r="L161" s="47">
        <v>4699.12</v>
      </c>
    </row>
    <row r="162" spans="1:12" x14ac:dyDescent="0.25">
      <c r="A162" s="5" t="s">
        <v>267</v>
      </c>
      <c r="B162" s="6">
        <v>10110</v>
      </c>
      <c r="C162" s="6" t="s">
        <v>5</v>
      </c>
      <c r="D162" s="6">
        <v>1</v>
      </c>
      <c r="E162" s="6" t="s">
        <v>1</v>
      </c>
      <c r="F162" s="6">
        <v>11</v>
      </c>
      <c r="G162" s="5" t="s">
        <v>6</v>
      </c>
      <c r="H162" s="6" t="s">
        <v>199</v>
      </c>
      <c r="I162" s="6">
        <v>2022</v>
      </c>
      <c r="J162" s="6" t="s">
        <v>181</v>
      </c>
      <c r="K162" s="6">
        <v>3</v>
      </c>
      <c r="L162" s="50">
        <v>53098.13</v>
      </c>
    </row>
    <row r="163" spans="1:12" x14ac:dyDescent="0.25">
      <c r="A163" s="5" t="s">
        <v>267</v>
      </c>
      <c r="B163" s="17">
        <v>10110</v>
      </c>
      <c r="C163" s="17" t="s">
        <v>5</v>
      </c>
      <c r="D163" s="17">
        <v>1</v>
      </c>
      <c r="E163" s="17" t="s">
        <v>1</v>
      </c>
      <c r="F163" s="17">
        <v>11</v>
      </c>
      <c r="G163" s="16" t="s">
        <v>9</v>
      </c>
      <c r="H163" s="17" t="s">
        <v>200</v>
      </c>
      <c r="I163" s="17">
        <v>2022</v>
      </c>
      <c r="J163" s="17" t="s">
        <v>181</v>
      </c>
      <c r="K163" s="17">
        <v>3</v>
      </c>
      <c r="L163" s="17">
        <v>1376.37</v>
      </c>
    </row>
    <row r="164" spans="1:12" x14ac:dyDescent="0.25">
      <c r="A164" s="5" t="s">
        <v>267</v>
      </c>
      <c r="B164" s="6">
        <v>10110</v>
      </c>
      <c r="C164" s="6" t="s">
        <v>5</v>
      </c>
      <c r="D164" s="6">
        <v>1</v>
      </c>
      <c r="E164" s="6" t="s">
        <v>1</v>
      </c>
      <c r="F164" s="6">
        <v>11</v>
      </c>
      <c r="G164" s="5" t="s">
        <v>7</v>
      </c>
      <c r="H164" s="6" t="s">
        <v>201</v>
      </c>
      <c r="I164" s="6">
        <v>2022</v>
      </c>
      <c r="J164" s="6" t="s">
        <v>181</v>
      </c>
      <c r="K164" s="6">
        <v>3</v>
      </c>
      <c r="L164" s="46">
        <v>2490.87</v>
      </c>
    </row>
    <row r="165" spans="1:12" x14ac:dyDescent="0.25">
      <c r="A165" s="5" t="s">
        <v>267</v>
      </c>
      <c r="B165" s="17">
        <v>10110</v>
      </c>
      <c r="C165" s="17" t="s">
        <v>5</v>
      </c>
      <c r="D165" s="17">
        <v>1</v>
      </c>
      <c r="E165" s="17" t="s">
        <v>1</v>
      </c>
      <c r="F165" s="17">
        <v>11</v>
      </c>
      <c r="G165" s="16" t="s">
        <v>10</v>
      </c>
      <c r="H165" s="17" t="s">
        <v>199</v>
      </c>
      <c r="I165" s="17">
        <v>2022</v>
      </c>
      <c r="J165" s="17" t="s">
        <v>181</v>
      </c>
      <c r="K165" s="17">
        <v>3</v>
      </c>
      <c r="L165" s="47">
        <v>1806.35</v>
      </c>
    </row>
    <row r="166" spans="1:12" x14ac:dyDescent="0.25">
      <c r="A166" s="5" t="s">
        <v>267</v>
      </c>
      <c r="B166" s="6">
        <v>10110</v>
      </c>
      <c r="C166" s="6" t="s">
        <v>5</v>
      </c>
      <c r="D166" s="6">
        <v>1</v>
      </c>
      <c r="E166" s="6" t="s">
        <v>1</v>
      </c>
      <c r="F166" s="6">
        <v>11</v>
      </c>
      <c r="G166" s="5" t="s">
        <v>11</v>
      </c>
      <c r="H166" s="6" t="s">
        <v>202</v>
      </c>
      <c r="I166" s="6">
        <v>2022</v>
      </c>
      <c r="J166" s="6" t="s">
        <v>181</v>
      </c>
      <c r="K166" s="6">
        <v>3</v>
      </c>
      <c r="L166" s="46">
        <v>4071.35</v>
      </c>
    </row>
    <row r="167" spans="1:12" x14ac:dyDescent="0.25">
      <c r="A167" s="5" t="s">
        <v>267</v>
      </c>
      <c r="B167" s="17">
        <v>10110</v>
      </c>
      <c r="C167" s="17" t="s">
        <v>5</v>
      </c>
      <c r="D167" s="17">
        <v>1</v>
      </c>
      <c r="E167" s="17" t="s">
        <v>1</v>
      </c>
      <c r="F167" s="17">
        <v>11</v>
      </c>
      <c r="G167" s="16" t="s">
        <v>12</v>
      </c>
      <c r="H167" s="17" t="s">
        <v>205</v>
      </c>
      <c r="I167" s="17">
        <v>2022</v>
      </c>
      <c r="J167" s="17" t="s">
        <v>181</v>
      </c>
      <c r="K167" s="17">
        <v>3</v>
      </c>
      <c r="L167" s="47">
        <v>3399.65</v>
      </c>
    </row>
    <row r="168" spans="1:12" x14ac:dyDescent="0.25">
      <c r="A168" s="5" t="s">
        <v>267</v>
      </c>
      <c r="B168" s="6">
        <v>10110</v>
      </c>
      <c r="C168" s="6" t="s">
        <v>5</v>
      </c>
      <c r="D168" s="6">
        <v>1</v>
      </c>
      <c r="E168" s="6" t="s">
        <v>1</v>
      </c>
      <c r="F168" s="6">
        <v>11</v>
      </c>
      <c r="G168" s="5" t="s">
        <v>18</v>
      </c>
      <c r="H168" s="6" t="s">
        <v>203</v>
      </c>
      <c r="I168" s="6">
        <v>2022</v>
      </c>
      <c r="J168" s="6" t="s">
        <v>181</v>
      </c>
      <c r="K168" s="6">
        <v>3</v>
      </c>
      <c r="L168" s="46">
        <v>768.28</v>
      </c>
    </row>
    <row r="169" spans="1:12" x14ac:dyDescent="0.25">
      <c r="A169" s="5" t="s">
        <v>267</v>
      </c>
      <c r="B169" s="17">
        <v>10110</v>
      </c>
      <c r="C169" s="17" t="s">
        <v>5</v>
      </c>
      <c r="D169" s="17">
        <v>1</v>
      </c>
      <c r="E169" s="17" t="s">
        <v>3</v>
      </c>
      <c r="F169" s="17">
        <v>12</v>
      </c>
      <c r="G169" s="16" t="s">
        <v>8</v>
      </c>
      <c r="H169" s="17" t="s">
        <v>206</v>
      </c>
      <c r="I169" s="17">
        <v>2022</v>
      </c>
      <c r="J169" s="17" t="s">
        <v>181</v>
      </c>
      <c r="K169" s="17">
        <v>3</v>
      </c>
      <c r="L169" s="47">
        <v>537.07000000000005</v>
      </c>
    </row>
    <row r="170" spans="1:12" x14ac:dyDescent="0.25">
      <c r="A170" s="5" t="s">
        <v>267</v>
      </c>
      <c r="B170" s="6">
        <v>10110</v>
      </c>
      <c r="C170" s="6" t="s">
        <v>20</v>
      </c>
      <c r="D170" s="6">
        <v>2</v>
      </c>
      <c r="E170" s="6" t="s">
        <v>4</v>
      </c>
      <c r="F170" s="6">
        <v>21</v>
      </c>
      <c r="G170" s="5" t="s">
        <v>13</v>
      </c>
      <c r="H170" s="6" t="s">
        <v>204</v>
      </c>
      <c r="I170" s="6">
        <v>2022</v>
      </c>
      <c r="J170" s="6" t="s">
        <v>181</v>
      </c>
      <c r="K170" s="6">
        <v>3</v>
      </c>
      <c r="L170" s="46">
        <v>86775.44</v>
      </c>
    </row>
    <row r="171" spans="1:12" x14ac:dyDescent="0.25">
      <c r="A171" s="5" t="s">
        <v>267</v>
      </c>
      <c r="B171" s="17">
        <v>10110</v>
      </c>
      <c r="C171" s="17" t="s">
        <v>20</v>
      </c>
      <c r="D171" s="17">
        <v>2</v>
      </c>
      <c r="E171" s="17" t="s">
        <v>4</v>
      </c>
      <c r="F171" s="17">
        <v>21</v>
      </c>
      <c r="G171" s="16" t="s">
        <v>14</v>
      </c>
      <c r="H171" s="17" t="s">
        <v>207</v>
      </c>
      <c r="I171" s="17">
        <v>2022</v>
      </c>
      <c r="J171" s="17" t="s">
        <v>181</v>
      </c>
      <c r="K171" s="17">
        <v>3</v>
      </c>
      <c r="L171" s="47">
        <v>4699.12</v>
      </c>
    </row>
    <row r="172" spans="1:12" x14ac:dyDescent="0.25">
      <c r="A172" s="5" t="s">
        <v>267</v>
      </c>
      <c r="B172" s="6">
        <v>10110</v>
      </c>
      <c r="C172" s="6" t="s">
        <v>5</v>
      </c>
      <c r="D172" s="6">
        <v>1</v>
      </c>
      <c r="E172" s="6" t="s">
        <v>1</v>
      </c>
      <c r="F172" s="6">
        <v>11</v>
      </c>
      <c r="G172" s="5" t="s">
        <v>6</v>
      </c>
      <c r="H172" s="6" t="s">
        <v>199</v>
      </c>
      <c r="I172" s="6">
        <v>2022</v>
      </c>
      <c r="J172" s="6" t="s">
        <v>208</v>
      </c>
      <c r="K172" s="6">
        <v>4</v>
      </c>
      <c r="L172" s="46">
        <v>55753.04</v>
      </c>
    </row>
    <row r="173" spans="1:12" x14ac:dyDescent="0.25">
      <c r="A173" s="5" t="s">
        <v>267</v>
      </c>
      <c r="B173" s="17">
        <v>10110</v>
      </c>
      <c r="C173" s="17" t="s">
        <v>5</v>
      </c>
      <c r="D173" s="17">
        <v>1</v>
      </c>
      <c r="E173" s="17" t="s">
        <v>1</v>
      </c>
      <c r="F173" s="17">
        <v>11</v>
      </c>
      <c r="G173" s="16" t="s">
        <v>9</v>
      </c>
      <c r="H173" s="17" t="s">
        <v>200</v>
      </c>
      <c r="I173" s="17">
        <v>2022</v>
      </c>
      <c r="J173" s="17" t="s">
        <v>208</v>
      </c>
      <c r="K173" s="17">
        <v>4</v>
      </c>
      <c r="L173" s="47">
        <v>1445.18</v>
      </c>
    </row>
    <row r="174" spans="1:12" x14ac:dyDescent="0.25">
      <c r="A174" s="5" t="s">
        <v>267</v>
      </c>
      <c r="B174" s="6">
        <v>10110</v>
      </c>
      <c r="C174" s="6" t="s">
        <v>5</v>
      </c>
      <c r="D174" s="6">
        <v>1</v>
      </c>
      <c r="E174" s="6" t="s">
        <v>1</v>
      </c>
      <c r="F174" s="6">
        <v>11</v>
      </c>
      <c r="G174" s="5" t="s">
        <v>7</v>
      </c>
      <c r="H174" s="6" t="s">
        <v>201</v>
      </c>
      <c r="I174" s="6">
        <v>2022</v>
      </c>
      <c r="J174" s="6" t="s">
        <v>208</v>
      </c>
      <c r="K174" s="6">
        <v>4</v>
      </c>
      <c r="L174" s="46">
        <v>2615.41</v>
      </c>
    </row>
    <row r="175" spans="1:12" x14ac:dyDescent="0.25">
      <c r="A175" s="5" t="s">
        <v>267</v>
      </c>
      <c r="B175" s="17">
        <v>10110</v>
      </c>
      <c r="C175" s="17" t="s">
        <v>5</v>
      </c>
      <c r="D175" s="17">
        <v>1</v>
      </c>
      <c r="E175" s="17" t="s">
        <v>1</v>
      </c>
      <c r="F175" s="17">
        <v>11</v>
      </c>
      <c r="G175" s="16" t="s">
        <v>10</v>
      </c>
      <c r="H175" s="17" t="s">
        <v>199</v>
      </c>
      <c r="I175" s="17">
        <v>2022</v>
      </c>
      <c r="J175" s="17" t="s">
        <v>208</v>
      </c>
      <c r="K175" s="17">
        <v>4</v>
      </c>
      <c r="L175" s="47">
        <v>1896.67</v>
      </c>
    </row>
    <row r="176" spans="1:12" x14ac:dyDescent="0.25">
      <c r="A176" s="5" t="s">
        <v>267</v>
      </c>
      <c r="B176" s="6">
        <v>10110</v>
      </c>
      <c r="C176" s="6" t="s">
        <v>5</v>
      </c>
      <c r="D176" s="6">
        <v>1</v>
      </c>
      <c r="E176" s="6" t="s">
        <v>1</v>
      </c>
      <c r="F176" s="6">
        <v>11</v>
      </c>
      <c r="G176" s="5" t="s">
        <v>11</v>
      </c>
      <c r="H176" s="6" t="s">
        <v>202</v>
      </c>
      <c r="I176" s="6">
        <v>2022</v>
      </c>
      <c r="J176" s="6" t="s">
        <v>208</v>
      </c>
      <c r="K176" s="6">
        <v>4</v>
      </c>
      <c r="L176" s="46">
        <v>4274.91</v>
      </c>
    </row>
    <row r="177" spans="1:12" x14ac:dyDescent="0.25">
      <c r="A177" s="5" t="s">
        <v>267</v>
      </c>
      <c r="B177" s="17">
        <v>10110</v>
      </c>
      <c r="C177" s="17" t="s">
        <v>5</v>
      </c>
      <c r="D177" s="17">
        <v>1</v>
      </c>
      <c r="E177" s="17" t="s">
        <v>1</v>
      </c>
      <c r="F177" s="17">
        <v>11</v>
      </c>
      <c r="G177" s="16" t="s">
        <v>12</v>
      </c>
      <c r="H177" s="17" t="s">
        <v>205</v>
      </c>
      <c r="I177" s="17">
        <v>2022</v>
      </c>
      <c r="J177" s="17" t="s">
        <v>208</v>
      </c>
      <c r="K177" s="17">
        <v>4</v>
      </c>
      <c r="L177" s="47">
        <v>3569.63</v>
      </c>
    </row>
    <row r="178" spans="1:12" x14ac:dyDescent="0.25">
      <c r="A178" s="5" t="s">
        <v>267</v>
      </c>
      <c r="B178" s="6">
        <v>10110</v>
      </c>
      <c r="C178" s="6" t="s">
        <v>5</v>
      </c>
      <c r="D178" s="6">
        <v>1</v>
      </c>
      <c r="E178" s="6" t="s">
        <v>1</v>
      </c>
      <c r="F178" s="6">
        <v>11</v>
      </c>
      <c r="G178" s="5" t="s">
        <v>18</v>
      </c>
      <c r="H178" s="6" t="s">
        <v>203</v>
      </c>
      <c r="I178" s="6">
        <v>2022</v>
      </c>
      <c r="J178" s="6" t="s">
        <v>208</v>
      </c>
      <c r="K178" s="6">
        <v>4</v>
      </c>
      <c r="L178" s="46">
        <v>806.7</v>
      </c>
    </row>
    <row r="179" spans="1:12" x14ac:dyDescent="0.25">
      <c r="A179" s="5" t="s">
        <v>267</v>
      </c>
      <c r="B179" s="17">
        <v>10110</v>
      </c>
      <c r="C179" s="17" t="s">
        <v>5</v>
      </c>
      <c r="D179" s="17">
        <v>1</v>
      </c>
      <c r="E179" s="17" t="s">
        <v>3</v>
      </c>
      <c r="F179" s="17">
        <v>12</v>
      </c>
      <c r="G179" s="16" t="s">
        <v>8</v>
      </c>
      <c r="H179" s="17" t="s">
        <v>206</v>
      </c>
      <c r="I179" s="17">
        <v>2022</v>
      </c>
      <c r="J179" s="17" t="s">
        <v>208</v>
      </c>
      <c r="K179" s="17">
        <v>4</v>
      </c>
      <c r="L179" s="47">
        <v>563.92999999999995</v>
      </c>
    </row>
    <row r="180" spans="1:12" x14ac:dyDescent="0.25">
      <c r="A180" s="5" t="s">
        <v>267</v>
      </c>
      <c r="B180" s="6">
        <v>10110</v>
      </c>
      <c r="C180" s="6" t="s">
        <v>20</v>
      </c>
      <c r="D180" s="6">
        <v>2</v>
      </c>
      <c r="E180" s="6" t="s">
        <v>4</v>
      </c>
      <c r="F180" s="6">
        <v>21</v>
      </c>
      <c r="G180" s="5" t="s">
        <v>13</v>
      </c>
      <c r="H180" s="6" t="s">
        <v>204</v>
      </c>
      <c r="I180" s="6">
        <v>2022</v>
      </c>
      <c r="J180" s="6" t="s">
        <v>208</v>
      </c>
      <c r="K180" s="6">
        <v>4</v>
      </c>
      <c r="L180" s="46">
        <v>902840.65</v>
      </c>
    </row>
    <row r="181" spans="1:12" x14ac:dyDescent="0.25">
      <c r="A181" s="5" t="s">
        <v>267</v>
      </c>
      <c r="B181" s="17">
        <v>10110</v>
      </c>
      <c r="C181" s="17" t="s">
        <v>20</v>
      </c>
      <c r="D181" s="17">
        <v>2</v>
      </c>
      <c r="E181" s="17" t="s">
        <v>4</v>
      </c>
      <c r="F181" s="17">
        <v>21</v>
      </c>
      <c r="G181" s="16" t="s">
        <v>14</v>
      </c>
      <c r="H181" s="17" t="s">
        <v>207</v>
      </c>
      <c r="I181" s="17">
        <v>2022</v>
      </c>
      <c r="J181" s="17" t="s">
        <v>208</v>
      </c>
      <c r="K181" s="17">
        <v>4</v>
      </c>
      <c r="L181" s="47">
        <v>4934.08</v>
      </c>
    </row>
    <row r="182" spans="1:12" x14ac:dyDescent="0.25">
      <c r="A182" s="5" t="s">
        <v>267</v>
      </c>
      <c r="B182" s="6">
        <v>10110</v>
      </c>
      <c r="C182" s="6" t="s">
        <v>5</v>
      </c>
      <c r="D182" s="6">
        <v>1</v>
      </c>
      <c r="E182" s="6" t="s">
        <v>1</v>
      </c>
      <c r="F182" s="6">
        <v>11</v>
      </c>
      <c r="G182" s="5" t="s">
        <v>6</v>
      </c>
      <c r="H182" s="6" t="s">
        <v>199</v>
      </c>
      <c r="I182" s="6">
        <v>2022</v>
      </c>
      <c r="J182" s="6" t="s">
        <v>212</v>
      </c>
      <c r="K182" s="6">
        <v>5</v>
      </c>
      <c r="L182" s="46">
        <v>56284.02</v>
      </c>
    </row>
    <row r="183" spans="1:12" x14ac:dyDescent="0.25">
      <c r="A183" s="5" t="s">
        <v>267</v>
      </c>
      <c r="B183" s="17">
        <v>10110</v>
      </c>
      <c r="C183" s="17" t="s">
        <v>5</v>
      </c>
      <c r="D183" s="17">
        <v>1</v>
      </c>
      <c r="E183" s="17" t="s">
        <v>1</v>
      </c>
      <c r="F183" s="17">
        <v>11</v>
      </c>
      <c r="G183" s="16" t="s">
        <v>9</v>
      </c>
      <c r="H183" s="17" t="s">
        <v>200</v>
      </c>
      <c r="I183" s="17">
        <v>2022</v>
      </c>
      <c r="J183" s="17" t="s">
        <v>212</v>
      </c>
      <c r="K183" s="17">
        <v>5</v>
      </c>
      <c r="L183" s="47">
        <v>1376.37</v>
      </c>
    </row>
    <row r="184" spans="1:12" x14ac:dyDescent="0.25">
      <c r="A184" s="5" t="s">
        <v>267</v>
      </c>
      <c r="B184" s="6">
        <v>10110</v>
      </c>
      <c r="C184" s="6" t="s">
        <v>5</v>
      </c>
      <c r="D184" s="6">
        <v>1</v>
      </c>
      <c r="E184" s="6" t="s">
        <v>1</v>
      </c>
      <c r="F184" s="6">
        <v>11</v>
      </c>
      <c r="G184" s="5" t="s">
        <v>7</v>
      </c>
      <c r="H184" s="6" t="s">
        <v>201</v>
      </c>
      <c r="I184" s="6">
        <v>2022</v>
      </c>
      <c r="J184" s="6" t="s">
        <v>212</v>
      </c>
      <c r="K184" s="6">
        <v>5</v>
      </c>
      <c r="L184" s="46">
        <v>2490.87</v>
      </c>
    </row>
    <row r="185" spans="1:12" x14ac:dyDescent="0.25">
      <c r="A185" s="5" t="s">
        <v>267</v>
      </c>
      <c r="B185" s="17">
        <v>10110</v>
      </c>
      <c r="C185" s="17" t="s">
        <v>5</v>
      </c>
      <c r="D185" s="17">
        <v>1</v>
      </c>
      <c r="E185" s="17" t="s">
        <v>1</v>
      </c>
      <c r="F185" s="17">
        <v>11</v>
      </c>
      <c r="G185" s="16" t="s">
        <v>10</v>
      </c>
      <c r="H185" s="17" t="s">
        <v>199</v>
      </c>
      <c r="I185" s="17">
        <v>2022</v>
      </c>
      <c r="J185" s="17" t="s">
        <v>212</v>
      </c>
      <c r="K185" s="17">
        <v>5</v>
      </c>
      <c r="L185" s="47">
        <v>1806.35</v>
      </c>
    </row>
    <row r="186" spans="1:12" x14ac:dyDescent="0.25">
      <c r="A186" s="5" t="s">
        <v>267</v>
      </c>
      <c r="B186" s="6">
        <v>10110</v>
      </c>
      <c r="C186" s="6" t="s">
        <v>5</v>
      </c>
      <c r="D186" s="6">
        <v>1</v>
      </c>
      <c r="E186" s="6" t="s">
        <v>1</v>
      </c>
      <c r="F186" s="6">
        <v>11</v>
      </c>
      <c r="G186" s="5" t="s">
        <v>11</v>
      </c>
      <c r="H186" s="6" t="s">
        <v>202</v>
      </c>
      <c r="I186" s="6">
        <v>2022</v>
      </c>
      <c r="J186" s="6" t="s">
        <v>212</v>
      </c>
      <c r="K186" s="6">
        <v>5</v>
      </c>
      <c r="L186" s="46">
        <v>4071.35</v>
      </c>
    </row>
    <row r="187" spans="1:12" x14ac:dyDescent="0.25">
      <c r="A187" s="5" t="s">
        <v>267</v>
      </c>
      <c r="B187" s="17">
        <v>10110</v>
      </c>
      <c r="C187" s="17" t="s">
        <v>5</v>
      </c>
      <c r="D187" s="17">
        <v>1</v>
      </c>
      <c r="E187" s="17" t="s">
        <v>1</v>
      </c>
      <c r="F187" s="17">
        <v>11</v>
      </c>
      <c r="G187" s="16" t="s">
        <v>12</v>
      </c>
      <c r="H187" s="17" t="s">
        <v>205</v>
      </c>
      <c r="I187" s="17">
        <v>2022</v>
      </c>
      <c r="J187" s="17" t="s">
        <v>212</v>
      </c>
      <c r="K187" s="17">
        <v>5</v>
      </c>
      <c r="L187" s="47">
        <v>3535.64</v>
      </c>
    </row>
    <row r="188" spans="1:12" x14ac:dyDescent="0.25">
      <c r="A188" s="5" t="s">
        <v>267</v>
      </c>
      <c r="B188" s="6">
        <v>10110</v>
      </c>
      <c r="C188" s="6" t="s">
        <v>5</v>
      </c>
      <c r="D188" s="6">
        <v>1</v>
      </c>
      <c r="E188" s="6" t="s">
        <v>1</v>
      </c>
      <c r="F188" s="6">
        <v>11</v>
      </c>
      <c r="G188" s="5" t="s">
        <v>18</v>
      </c>
      <c r="H188" s="6" t="s">
        <v>203</v>
      </c>
      <c r="I188" s="6">
        <v>2022</v>
      </c>
      <c r="J188" s="6" t="s">
        <v>212</v>
      </c>
      <c r="K188" s="6">
        <v>5</v>
      </c>
      <c r="L188" s="50">
        <v>768.28</v>
      </c>
    </row>
    <row r="189" spans="1:12" x14ac:dyDescent="0.25">
      <c r="A189" s="5" t="s">
        <v>267</v>
      </c>
      <c r="B189" s="17">
        <v>10110</v>
      </c>
      <c r="C189" s="17" t="s">
        <v>5</v>
      </c>
      <c r="D189" s="17">
        <v>1</v>
      </c>
      <c r="E189" s="17" t="s">
        <v>3</v>
      </c>
      <c r="F189" s="17">
        <v>12</v>
      </c>
      <c r="G189" s="16" t="s">
        <v>8</v>
      </c>
      <c r="H189" s="17" t="s">
        <v>206</v>
      </c>
      <c r="I189" s="17">
        <v>2022</v>
      </c>
      <c r="J189" s="17" t="s">
        <v>212</v>
      </c>
      <c r="K189" s="17">
        <v>5</v>
      </c>
      <c r="L189" s="47">
        <v>138000</v>
      </c>
    </row>
    <row r="190" spans="1:12" x14ac:dyDescent="0.25">
      <c r="A190" s="5" t="s">
        <v>267</v>
      </c>
      <c r="B190" s="6">
        <v>10110</v>
      </c>
      <c r="C190" s="6" t="s">
        <v>20</v>
      </c>
      <c r="D190" s="6">
        <v>2</v>
      </c>
      <c r="E190" s="6" t="s">
        <v>4</v>
      </c>
      <c r="F190" s="6">
        <v>21</v>
      </c>
      <c r="G190" s="5" t="s">
        <v>13</v>
      </c>
      <c r="H190" s="6" t="s">
        <v>204</v>
      </c>
      <c r="I190" s="6">
        <v>2022</v>
      </c>
      <c r="J190" s="6" t="s">
        <v>212</v>
      </c>
      <c r="K190" s="6">
        <v>5</v>
      </c>
      <c r="L190" s="46">
        <v>1002225.58</v>
      </c>
    </row>
    <row r="191" spans="1:12" x14ac:dyDescent="0.25">
      <c r="A191" s="5" t="s">
        <v>267</v>
      </c>
      <c r="B191" s="17">
        <v>10110</v>
      </c>
      <c r="C191" s="17" t="s">
        <v>20</v>
      </c>
      <c r="D191" s="17">
        <v>2</v>
      </c>
      <c r="E191" s="17" t="s">
        <v>4</v>
      </c>
      <c r="F191" s="17">
        <v>21</v>
      </c>
      <c r="G191" s="16" t="s">
        <v>14</v>
      </c>
      <c r="H191" s="17" t="s">
        <v>207</v>
      </c>
      <c r="I191" s="17">
        <v>2022</v>
      </c>
      <c r="J191" s="17" t="s">
        <v>212</v>
      </c>
      <c r="K191" s="17">
        <v>5</v>
      </c>
      <c r="L191" s="47">
        <v>4699.12</v>
      </c>
    </row>
    <row r="192" spans="1:12" x14ac:dyDescent="0.25">
      <c r="A192" s="5" t="s">
        <v>267</v>
      </c>
      <c r="B192" s="6">
        <v>10110</v>
      </c>
      <c r="C192" s="6" t="s">
        <v>5</v>
      </c>
      <c r="D192" s="6">
        <v>1</v>
      </c>
      <c r="E192" s="6" t="s">
        <v>1</v>
      </c>
      <c r="F192" s="6">
        <v>11</v>
      </c>
      <c r="G192" s="5" t="s">
        <v>6</v>
      </c>
      <c r="H192" s="6" t="s">
        <v>199</v>
      </c>
      <c r="I192" s="6">
        <v>2022</v>
      </c>
      <c r="J192" s="6" t="s">
        <v>228</v>
      </c>
      <c r="K192" s="6">
        <v>6</v>
      </c>
      <c r="L192" s="50">
        <v>55753.04</v>
      </c>
    </row>
    <row r="193" spans="1:12" x14ac:dyDescent="0.25">
      <c r="A193" s="5" t="s">
        <v>267</v>
      </c>
      <c r="B193" s="17">
        <v>10110</v>
      </c>
      <c r="C193" s="17" t="s">
        <v>5</v>
      </c>
      <c r="D193" s="17">
        <v>1</v>
      </c>
      <c r="E193" s="17" t="s">
        <v>1</v>
      </c>
      <c r="F193" s="17">
        <v>11</v>
      </c>
      <c r="G193" s="16" t="s">
        <v>9</v>
      </c>
      <c r="H193" s="17" t="s">
        <v>200</v>
      </c>
      <c r="I193" s="17">
        <v>2022</v>
      </c>
      <c r="J193" s="17" t="s">
        <v>228</v>
      </c>
      <c r="K193" s="17">
        <v>6</v>
      </c>
      <c r="L193" s="47">
        <v>1301.96</v>
      </c>
    </row>
    <row r="194" spans="1:12" x14ac:dyDescent="0.25">
      <c r="A194" s="5" t="s">
        <v>267</v>
      </c>
      <c r="B194" s="6">
        <v>10110</v>
      </c>
      <c r="C194" s="6" t="s">
        <v>5</v>
      </c>
      <c r="D194" s="6">
        <v>1</v>
      </c>
      <c r="E194" s="6" t="s">
        <v>1</v>
      </c>
      <c r="F194" s="6">
        <v>11</v>
      </c>
      <c r="G194" s="5" t="s">
        <v>7</v>
      </c>
      <c r="H194" s="6" t="s">
        <v>201</v>
      </c>
      <c r="I194" s="6">
        <v>2022</v>
      </c>
      <c r="J194" s="6" t="s">
        <v>228</v>
      </c>
      <c r="K194" s="6">
        <v>6</v>
      </c>
      <c r="L194" s="46">
        <v>2356.2199999999998</v>
      </c>
    </row>
    <row r="195" spans="1:12" x14ac:dyDescent="0.25">
      <c r="A195" s="5" t="s">
        <v>267</v>
      </c>
      <c r="B195" s="17">
        <v>10110</v>
      </c>
      <c r="C195" s="17" t="s">
        <v>5</v>
      </c>
      <c r="D195" s="17">
        <v>1</v>
      </c>
      <c r="E195" s="17" t="s">
        <v>1</v>
      </c>
      <c r="F195" s="17">
        <v>11</v>
      </c>
      <c r="G195" s="16" t="s">
        <v>10</v>
      </c>
      <c r="H195" s="17" t="s">
        <v>199</v>
      </c>
      <c r="I195" s="17">
        <v>2022</v>
      </c>
      <c r="J195" s="17" t="s">
        <v>228</v>
      </c>
      <c r="K195" s="17">
        <v>6</v>
      </c>
      <c r="L195" s="47">
        <v>1708.7</v>
      </c>
    </row>
    <row r="196" spans="1:12" x14ac:dyDescent="0.25">
      <c r="A196" s="5" t="s">
        <v>267</v>
      </c>
      <c r="B196" s="6">
        <v>10110</v>
      </c>
      <c r="C196" s="6" t="s">
        <v>5</v>
      </c>
      <c r="D196" s="6">
        <v>1</v>
      </c>
      <c r="E196" s="6" t="s">
        <v>1</v>
      </c>
      <c r="F196" s="6">
        <v>11</v>
      </c>
      <c r="G196" s="5" t="s">
        <v>11</v>
      </c>
      <c r="H196" s="6" t="s">
        <v>202</v>
      </c>
      <c r="I196" s="6">
        <v>2022</v>
      </c>
      <c r="J196" s="6" t="s">
        <v>228</v>
      </c>
      <c r="K196" s="6">
        <v>6</v>
      </c>
      <c r="L196" s="46">
        <v>3851.27</v>
      </c>
    </row>
    <row r="197" spans="1:12" x14ac:dyDescent="0.25">
      <c r="A197" s="5" t="s">
        <v>267</v>
      </c>
      <c r="B197" s="17">
        <v>10110</v>
      </c>
      <c r="C197" s="17" t="s">
        <v>5</v>
      </c>
      <c r="D197" s="17">
        <v>1</v>
      </c>
      <c r="E197" s="17" t="s">
        <v>1</v>
      </c>
      <c r="F197" s="17">
        <v>11</v>
      </c>
      <c r="G197" s="16" t="s">
        <v>12</v>
      </c>
      <c r="H197" s="17" t="s">
        <v>205</v>
      </c>
      <c r="I197" s="17">
        <v>2022</v>
      </c>
      <c r="J197" s="17" t="s">
        <v>228</v>
      </c>
      <c r="K197" s="17">
        <v>6</v>
      </c>
      <c r="L197" s="47">
        <v>3215.88</v>
      </c>
    </row>
    <row r="198" spans="1:12" x14ac:dyDescent="0.25">
      <c r="A198" s="5" t="s">
        <v>267</v>
      </c>
      <c r="B198" s="6">
        <v>10110</v>
      </c>
      <c r="C198" s="6" t="s">
        <v>5</v>
      </c>
      <c r="D198" s="6">
        <v>1</v>
      </c>
      <c r="E198" s="6" t="s">
        <v>1</v>
      </c>
      <c r="F198" s="6">
        <v>11</v>
      </c>
      <c r="G198" s="5" t="s">
        <v>18</v>
      </c>
      <c r="H198" s="6" t="s">
        <v>203</v>
      </c>
      <c r="I198" s="6">
        <v>2022</v>
      </c>
      <c r="J198" s="6" t="s">
        <v>228</v>
      </c>
      <c r="K198" s="6">
        <v>6</v>
      </c>
      <c r="L198" s="46">
        <v>726.75</v>
      </c>
    </row>
    <row r="199" spans="1:12" x14ac:dyDescent="0.25">
      <c r="A199" s="5" t="s">
        <v>267</v>
      </c>
      <c r="B199" s="17">
        <v>10110</v>
      </c>
      <c r="C199" s="17" t="s">
        <v>5</v>
      </c>
      <c r="D199" s="17">
        <v>1</v>
      </c>
      <c r="E199" s="17" t="s">
        <v>3</v>
      </c>
      <c r="F199" s="17">
        <v>12</v>
      </c>
      <c r="G199" s="16" t="s">
        <v>8</v>
      </c>
      <c r="H199" s="17" t="s">
        <v>206</v>
      </c>
      <c r="I199" s="17">
        <v>2022</v>
      </c>
      <c r="J199" s="17" t="s">
        <v>228</v>
      </c>
      <c r="K199" s="17">
        <v>6</v>
      </c>
      <c r="L199" s="47">
        <v>508.05</v>
      </c>
    </row>
    <row r="200" spans="1:12" x14ac:dyDescent="0.25">
      <c r="A200" s="5" t="s">
        <v>267</v>
      </c>
      <c r="B200" s="6">
        <v>10110</v>
      </c>
      <c r="C200" s="6" t="s">
        <v>20</v>
      </c>
      <c r="D200" s="6">
        <v>2</v>
      </c>
      <c r="E200" s="6" t="s">
        <v>4</v>
      </c>
      <c r="F200" s="6">
        <v>21</v>
      </c>
      <c r="G200" s="5" t="s">
        <v>13</v>
      </c>
      <c r="H200" s="6" t="s">
        <v>204</v>
      </c>
      <c r="I200" s="6">
        <v>2022</v>
      </c>
      <c r="J200" s="6" t="s">
        <v>228</v>
      </c>
      <c r="K200" s="6">
        <v>6</v>
      </c>
      <c r="L200" s="46">
        <v>91114.2</v>
      </c>
    </row>
    <row r="201" spans="1:12" x14ac:dyDescent="0.25">
      <c r="A201" s="5" t="s">
        <v>267</v>
      </c>
      <c r="B201" s="17">
        <v>10110</v>
      </c>
      <c r="C201" s="17" t="s">
        <v>20</v>
      </c>
      <c r="D201" s="17">
        <v>2</v>
      </c>
      <c r="E201" s="17" t="s">
        <v>4</v>
      </c>
      <c r="F201" s="17">
        <v>21</v>
      </c>
      <c r="G201" s="16" t="s">
        <v>14</v>
      </c>
      <c r="H201" s="17" t="s">
        <v>207</v>
      </c>
      <c r="I201" s="17">
        <v>2022</v>
      </c>
      <c r="J201" s="17" t="s">
        <v>228</v>
      </c>
      <c r="K201" s="17">
        <v>6</v>
      </c>
      <c r="L201" s="47">
        <v>4934.08</v>
      </c>
    </row>
    <row r="202" spans="1:12" x14ac:dyDescent="0.25">
      <c r="A202" s="5" t="s">
        <v>267</v>
      </c>
      <c r="B202" s="6">
        <v>10110</v>
      </c>
      <c r="C202" s="6" t="s">
        <v>5</v>
      </c>
      <c r="D202" s="6">
        <v>1</v>
      </c>
      <c r="E202" s="6" t="s">
        <v>1</v>
      </c>
      <c r="F202" s="6">
        <v>11</v>
      </c>
      <c r="G202" s="5" t="s">
        <v>6</v>
      </c>
      <c r="H202" s="6" t="s">
        <v>199</v>
      </c>
      <c r="I202" s="6">
        <v>2022</v>
      </c>
      <c r="J202" s="6" t="s">
        <v>229</v>
      </c>
      <c r="K202" s="6">
        <v>7</v>
      </c>
      <c r="L202" s="46">
        <v>55753.04</v>
      </c>
    </row>
    <row r="203" spans="1:12" x14ac:dyDescent="0.25">
      <c r="A203" s="5" t="s">
        <v>267</v>
      </c>
      <c r="B203" s="17">
        <v>10110</v>
      </c>
      <c r="C203" s="17" t="s">
        <v>5</v>
      </c>
      <c r="D203" s="17">
        <v>1</v>
      </c>
      <c r="E203" s="17" t="s">
        <v>1</v>
      </c>
      <c r="F203" s="17">
        <v>11</v>
      </c>
      <c r="G203" s="16" t="s">
        <v>9</v>
      </c>
      <c r="H203" s="17" t="s">
        <v>200</v>
      </c>
      <c r="I203" s="17">
        <v>2022</v>
      </c>
      <c r="J203" s="17" t="s">
        <v>229</v>
      </c>
      <c r="K203" s="17">
        <v>7</v>
      </c>
      <c r="L203" s="47">
        <v>1301.96</v>
      </c>
    </row>
    <row r="204" spans="1:12" x14ac:dyDescent="0.25">
      <c r="A204" s="5" t="s">
        <v>267</v>
      </c>
      <c r="B204" s="6">
        <v>10110</v>
      </c>
      <c r="C204" s="6" t="s">
        <v>5</v>
      </c>
      <c r="D204" s="6">
        <v>1</v>
      </c>
      <c r="E204" s="6" t="s">
        <v>1</v>
      </c>
      <c r="F204" s="6">
        <v>11</v>
      </c>
      <c r="G204" s="5" t="s">
        <v>7</v>
      </c>
      <c r="H204" s="6" t="s">
        <v>201</v>
      </c>
      <c r="I204" s="6">
        <v>2022</v>
      </c>
      <c r="J204" s="6" t="s">
        <v>229</v>
      </c>
      <c r="K204" s="6">
        <v>7</v>
      </c>
      <c r="L204" s="46">
        <v>2356.2199999999998</v>
      </c>
    </row>
    <row r="205" spans="1:12" x14ac:dyDescent="0.25">
      <c r="A205" s="5" t="s">
        <v>267</v>
      </c>
      <c r="B205" s="17">
        <v>10110</v>
      </c>
      <c r="C205" s="17" t="s">
        <v>5</v>
      </c>
      <c r="D205" s="17">
        <v>1</v>
      </c>
      <c r="E205" s="17" t="s">
        <v>1</v>
      </c>
      <c r="F205" s="17">
        <v>11</v>
      </c>
      <c r="G205" s="16" t="s">
        <v>10</v>
      </c>
      <c r="H205" s="17" t="s">
        <v>199</v>
      </c>
      <c r="I205" s="17">
        <v>2022</v>
      </c>
      <c r="J205" s="17" t="s">
        <v>229</v>
      </c>
      <c r="K205" s="17">
        <v>7</v>
      </c>
      <c r="L205" s="47">
        <v>1708.7</v>
      </c>
    </row>
    <row r="206" spans="1:12" x14ac:dyDescent="0.25">
      <c r="A206" s="5" t="s">
        <v>267</v>
      </c>
      <c r="B206" s="6">
        <v>10110</v>
      </c>
      <c r="C206" s="6" t="s">
        <v>5</v>
      </c>
      <c r="D206" s="6">
        <v>1</v>
      </c>
      <c r="E206" s="6" t="s">
        <v>1</v>
      </c>
      <c r="F206" s="6">
        <v>11</v>
      </c>
      <c r="G206" s="5" t="s">
        <v>11</v>
      </c>
      <c r="H206" s="6" t="s">
        <v>202</v>
      </c>
      <c r="I206" s="6">
        <v>2022</v>
      </c>
      <c r="J206" s="6" t="s">
        <v>229</v>
      </c>
      <c r="K206" s="6">
        <v>7</v>
      </c>
      <c r="L206" s="50">
        <v>3851.27</v>
      </c>
    </row>
    <row r="207" spans="1:12" x14ac:dyDescent="0.25">
      <c r="A207" s="5" t="s">
        <v>267</v>
      </c>
      <c r="B207" s="17">
        <v>10110</v>
      </c>
      <c r="C207" s="17" t="s">
        <v>5</v>
      </c>
      <c r="D207" s="17">
        <v>1</v>
      </c>
      <c r="E207" s="17" t="s">
        <v>1</v>
      </c>
      <c r="F207" s="17">
        <v>11</v>
      </c>
      <c r="G207" s="16" t="s">
        <v>12</v>
      </c>
      <c r="H207" s="17" t="s">
        <v>205</v>
      </c>
      <c r="I207" s="17">
        <v>2022</v>
      </c>
      <c r="J207" s="17" t="s">
        <v>229</v>
      </c>
      <c r="K207" s="17">
        <v>7</v>
      </c>
      <c r="L207" s="47">
        <v>3215.88</v>
      </c>
    </row>
    <row r="208" spans="1:12" x14ac:dyDescent="0.25">
      <c r="A208" s="5" t="s">
        <v>267</v>
      </c>
      <c r="B208" s="6">
        <v>10110</v>
      </c>
      <c r="C208" s="6" t="s">
        <v>5</v>
      </c>
      <c r="D208" s="6">
        <v>1</v>
      </c>
      <c r="E208" s="6" t="s">
        <v>1</v>
      </c>
      <c r="F208" s="6">
        <v>11</v>
      </c>
      <c r="G208" s="5" t="s">
        <v>18</v>
      </c>
      <c r="H208" s="6" t="s">
        <v>203</v>
      </c>
      <c r="I208" s="6">
        <v>2022</v>
      </c>
      <c r="J208" s="6" t="s">
        <v>229</v>
      </c>
      <c r="K208" s="6">
        <v>7</v>
      </c>
      <c r="L208" s="46">
        <v>726.75</v>
      </c>
    </row>
    <row r="209" spans="1:12" x14ac:dyDescent="0.25">
      <c r="A209" s="5" t="s">
        <v>267</v>
      </c>
      <c r="B209" s="17">
        <v>10110</v>
      </c>
      <c r="C209" s="17" t="s">
        <v>5</v>
      </c>
      <c r="D209" s="17">
        <v>1</v>
      </c>
      <c r="E209" s="17" t="s">
        <v>3</v>
      </c>
      <c r="F209" s="17">
        <v>12</v>
      </c>
      <c r="G209" s="16" t="s">
        <v>8</v>
      </c>
      <c r="H209" s="17" t="s">
        <v>206</v>
      </c>
      <c r="I209" s="17">
        <v>2022</v>
      </c>
      <c r="J209" s="17" t="s">
        <v>229</v>
      </c>
      <c r="K209" s="17">
        <v>7</v>
      </c>
      <c r="L209" s="47">
        <v>508.05</v>
      </c>
    </row>
    <row r="210" spans="1:12" x14ac:dyDescent="0.25">
      <c r="A210" s="5" t="s">
        <v>267</v>
      </c>
      <c r="B210" s="6">
        <v>10110</v>
      </c>
      <c r="C210" s="6" t="s">
        <v>20</v>
      </c>
      <c r="D210" s="6">
        <v>2</v>
      </c>
      <c r="E210" s="6" t="s">
        <v>4</v>
      </c>
      <c r="F210" s="6">
        <v>21</v>
      </c>
      <c r="G210" s="5" t="s">
        <v>13</v>
      </c>
      <c r="H210" s="6" t="s">
        <v>204</v>
      </c>
      <c r="I210" s="6">
        <v>2022</v>
      </c>
      <c r="J210" s="6" t="s">
        <v>229</v>
      </c>
      <c r="K210" s="6">
        <v>7</v>
      </c>
      <c r="L210" s="46">
        <v>91114.2</v>
      </c>
    </row>
    <row r="211" spans="1:12" x14ac:dyDescent="0.25">
      <c r="A211" s="5" t="s">
        <v>267</v>
      </c>
      <c r="B211" s="17">
        <v>10110</v>
      </c>
      <c r="C211" s="17" t="s">
        <v>20</v>
      </c>
      <c r="D211" s="17">
        <v>2</v>
      </c>
      <c r="E211" s="17" t="s">
        <v>4</v>
      </c>
      <c r="F211" s="17">
        <v>21</v>
      </c>
      <c r="G211" s="16" t="s">
        <v>14</v>
      </c>
      <c r="H211" s="17" t="s">
        <v>207</v>
      </c>
      <c r="I211" s="17">
        <v>2022</v>
      </c>
      <c r="J211" s="17" t="s">
        <v>229</v>
      </c>
      <c r="K211" s="17">
        <v>7</v>
      </c>
      <c r="L211" s="47">
        <v>4934.08</v>
      </c>
    </row>
    <row r="212" spans="1:12" x14ac:dyDescent="0.25">
      <c r="A212" s="5" t="s">
        <v>267</v>
      </c>
      <c r="B212" s="6">
        <v>10110</v>
      </c>
      <c r="C212" s="6" t="s">
        <v>5</v>
      </c>
      <c r="D212" s="6">
        <v>1</v>
      </c>
      <c r="E212" s="6" t="s">
        <v>1</v>
      </c>
      <c r="F212" s="6">
        <v>11</v>
      </c>
      <c r="G212" s="5" t="s">
        <v>6</v>
      </c>
      <c r="H212" s="6" t="s">
        <v>199</v>
      </c>
      <c r="I212" s="6">
        <v>2022</v>
      </c>
      <c r="J212" s="6" t="s">
        <v>230</v>
      </c>
      <c r="K212" s="6">
        <v>8</v>
      </c>
      <c r="L212" s="46">
        <v>55753.04</v>
      </c>
    </row>
    <row r="213" spans="1:12" x14ac:dyDescent="0.25">
      <c r="A213" s="5" t="s">
        <v>267</v>
      </c>
      <c r="B213" s="17">
        <v>10110</v>
      </c>
      <c r="C213" s="17" t="s">
        <v>5</v>
      </c>
      <c r="D213" s="17">
        <v>1</v>
      </c>
      <c r="E213" s="17" t="s">
        <v>1</v>
      </c>
      <c r="F213" s="17">
        <v>11</v>
      </c>
      <c r="G213" s="16" t="s">
        <v>9</v>
      </c>
      <c r="H213" s="17" t="s">
        <v>200</v>
      </c>
      <c r="I213" s="17">
        <v>2022</v>
      </c>
      <c r="J213" s="17" t="s">
        <v>230</v>
      </c>
      <c r="K213" s="17">
        <v>8</v>
      </c>
      <c r="L213" s="47">
        <v>1445.18</v>
      </c>
    </row>
    <row r="214" spans="1:12" x14ac:dyDescent="0.25">
      <c r="A214" s="5" t="s">
        <v>267</v>
      </c>
      <c r="B214" s="6">
        <v>10110</v>
      </c>
      <c r="C214" s="6" t="s">
        <v>5</v>
      </c>
      <c r="D214" s="6">
        <v>1</v>
      </c>
      <c r="E214" s="6" t="s">
        <v>1</v>
      </c>
      <c r="F214" s="6">
        <v>11</v>
      </c>
      <c r="G214" s="5" t="s">
        <v>7</v>
      </c>
      <c r="H214" s="6" t="s">
        <v>201</v>
      </c>
      <c r="I214" s="6">
        <v>2022</v>
      </c>
      <c r="J214" s="6" t="s">
        <v>230</v>
      </c>
      <c r="K214" s="6">
        <v>8</v>
      </c>
      <c r="L214" s="50">
        <v>2615.41</v>
      </c>
    </row>
    <row r="215" spans="1:12" x14ac:dyDescent="0.25">
      <c r="A215" s="5" t="s">
        <v>267</v>
      </c>
      <c r="B215" s="17">
        <v>10110</v>
      </c>
      <c r="C215" s="17" t="s">
        <v>5</v>
      </c>
      <c r="D215" s="17">
        <v>1</v>
      </c>
      <c r="E215" s="17" t="s">
        <v>1</v>
      </c>
      <c r="F215" s="17">
        <v>11</v>
      </c>
      <c r="G215" s="16" t="s">
        <v>10</v>
      </c>
      <c r="H215" s="17" t="s">
        <v>199</v>
      </c>
      <c r="I215" s="17">
        <v>2022</v>
      </c>
      <c r="J215" s="17" t="s">
        <v>230</v>
      </c>
      <c r="K215" s="17">
        <v>8</v>
      </c>
      <c r="L215" s="47">
        <v>1896.67</v>
      </c>
    </row>
    <row r="216" spans="1:12" x14ac:dyDescent="0.25">
      <c r="A216" s="5" t="s">
        <v>267</v>
      </c>
      <c r="B216" s="6">
        <v>10110</v>
      </c>
      <c r="C216" s="6" t="s">
        <v>5</v>
      </c>
      <c r="D216" s="6">
        <v>1</v>
      </c>
      <c r="E216" s="6" t="s">
        <v>1</v>
      </c>
      <c r="F216" s="6">
        <v>11</v>
      </c>
      <c r="G216" s="5" t="s">
        <v>11</v>
      </c>
      <c r="H216" s="6" t="s">
        <v>202</v>
      </c>
      <c r="I216" s="6">
        <v>2022</v>
      </c>
      <c r="J216" s="6" t="s">
        <v>230</v>
      </c>
      <c r="K216" s="6">
        <v>8</v>
      </c>
      <c r="L216" s="46">
        <v>4274.92</v>
      </c>
    </row>
    <row r="217" spans="1:12" x14ac:dyDescent="0.25">
      <c r="A217" s="5" t="s">
        <v>267</v>
      </c>
      <c r="B217" s="17">
        <v>10110</v>
      </c>
      <c r="C217" s="17" t="s">
        <v>5</v>
      </c>
      <c r="D217" s="17">
        <v>1</v>
      </c>
      <c r="E217" s="17" t="s">
        <v>1</v>
      </c>
      <c r="F217" s="17">
        <v>11</v>
      </c>
      <c r="G217" s="16" t="s">
        <v>12</v>
      </c>
      <c r="H217" s="17" t="s">
        <v>205</v>
      </c>
      <c r="I217" s="17">
        <v>2022</v>
      </c>
      <c r="J217" s="17" t="s">
        <v>230</v>
      </c>
      <c r="K217" s="17">
        <v>8</v>
      </c>
      <c r="L217" s="47">
        <v>3569.63</v>
      </c>
    </row>
    <row r="218" spans="1:12" x14ac:dyDescent="0.25">
      <c r="A218" s="5" t="s">
        <v>267</v>
      </c>
      <c r="B218" s="6">
        <v>10110</v>
      </c>
      <c r="C218" s="6" t="s">
        <v>5</v>
      </c>
      <c r="D218" s="6">
        <v>1</v>
      </c>
      <c r="E218" s="6" t="s">
        <v>1</v>
      </c>
      <c r="F218" s="6">
        <v>11</v>
      </c>
      <c r="G218" s="5" t="s">
        <v>18</v>
      </c>
      <c r="H218" s="6" t="s">
        <v>203</v>
      </c>
      <c r="I218" s="6">
        <v>2022</v>
      </c>
      <c r="J218" s="6" t="s">
        <v>230</v>
      </c>
      <c r="K218" s="6">
        <v>8</v>
      </c>
      <c r="L218" s="46">
        <v>806.69</v>
      </c>
    </row>
    <row r="219" spans="1:12" x14ac:dyDescent="0.25">
      <c r="A219" s="5" t="s">
        <v>267</v>
      </c>
      <c r="B219" s="17">
        <v>10110</v>
      </c>
      <c r="C219" s="17" t="s">
        <v>5</v>
      </c>
      <c r="D219" s="17">
        <v>1</v>
      </c>
      <c r="E219" s="17" t="s">
        <v>3</v>
      </c>
      <c r="F219" s="17">
        <v>12</v>
      </c>
      <c r="G219" s="16" t="s">
        <v>8</v>
      </c>
      <c r="H219" s="17" t="s">
        <v>206</v>
      </c>
      <c r="I219" s="17">
        <v>2022</v>
      </c>
      <c r="J219" s="17" t="s">
        <v>230</v>
      </c>
      <c r="K219" s="17">
        <v>8</v>
      </c>
      <c r="L219" s="47">
        <v>563.92999999999995</v>
      </c>
    </row>
    <row r="220" spans="1:12" x14ac:dyDescent="0.25">
      <c r="A220" s="5" t="s">
        <v>267</v>
      </c>
      <c r="B220" s="6">
        <v>10110</v>
      </c>
      <c r="C220" s="6" t="s">
        <v>20</v>
      </c>
      <c r="D220" s="6">
        <v>2</v>
      </c>
      <c r="E220" s="6" t="s">
        <v>4</v>
      </c>
      <c r="F220" s="6">
        <v>21</v>
      </c>
      <c r="G220" s="5" t="s">
        <v>13</v>
      </c>
      <c r="H220" s="6" t="s">
        <v>204</v>
      </c>
      <c r="I220" s="6">
        <v>2022</v>
      </c>
      <c r="J220" s="6" t="s">
        <v>230</v>
      </c>
      <c r="K220" s="6">
        <v>8</v>
      </c>
      <c r="L220" s="46">
        <v>91114.21</v>
      </c>
    </row>
    <row r="221" spans="1:12" x14ac:dyDescent="0.25">
      <c r="A221" s="5" t="s">
        <v>267</v>
      </c>
      <c r="B221" s="17">
        <v>10110</v>
      </c>
      <c r="C221" s="17" t="s">
        <v>20</v>
      </c>
      <c r="D221" s="17">
        <v>2</v>
      </c>
      <c r="E221" s="17" t="s">
        <v>4</v>
      </c>
      <c r="F221" s="17">
        <v>21</v>
      </c>
      <c r="G221" s="16" t="s">
        <v>14</v>
      </c>
      <c r="H221" s="17" t="s">
        <v>207</v>
      </c>
      <c r="I221" s="17">
        <v>2022</v>
      </c>
      <c r="J221" s="17" t="s">
        <v>230</v>
      </c>
      <c r="K221" s="17">
        <v>8</v>
      </c>
      <c r="L221" s="47">
        <v>4934.08</v>
      </c>
    </row>
    <row r="222" spans="1:12" x14ac:dyDescent="0.25">
      <c r="A222" s="5" t="s">
        <v>267</v>
      </c>
      <c r="B222" s="6">
        <v>10110</v>
      </c>
      <c r="C222" s="6" t="s">
        <v>5</v>
      </c>
      <c r="D222" s="6">
        <v>1</v>
      </c>
      <c r="E222" s="6" t="s">
        <v>1</v>
      </c>
      <c r="F222" s="6">
        <v>11</v>
      </c>
      <c r="G222" s="5" t="s">
        <v>6</v>
      </c>
      <c r="H222" s="6" t="s">
        <v>199</v>
      </c>
      <c r="I222" s="6">
        <v>2022</v>
      </c>
      <c r="J222" s="6" t="s">
        <v>231</v>
      </c>
      <c r="K222" s="6">
        <v>9</v>
      </c>
      <c r="L222" s="50">
        <v>58540.69</v>
      </c>
    </row>
    <row r="223" spans="1:12" x14ac:dyDescent="0.25">
      <c r="A223" s="5" t="s">
        <v>267</v>
      </c>
      <c r="B223" s="17">
        <v>10110</v>
      </c>
      <c r="C223" s="17" t="s">
        <v>5</v>
      </c>
      <c r="D223" s="17">
        <v>1</v>
      </c>
      <c r="E223" s="17" t="s">
        <v>1</v>
      </c>
      <c r="F223" s="17">
        <v>11</v>
      </c>
      <c r="G223" s="16" t="s">
        <v>9</v>
      </c>
      <c r="H223" s="17" t="s">
        <v>200</v>
      </c>
      <c r="I223" s="17">
        <v>2022</v>
      </c>
      <c r="J223" s="17" t="s">
        <v>231</v>
      </c>
      <c r="K223" s="17">
        <v>9</v>
      </c>
      <c r="L223" s="47">
        <v>1517.44</v>
      </c>
    </row>
    <row r="224" spans="1:12" x14ac:dyDescent="0.25">
      <c r="A224" s="5" t="s">
        <v>267</v>
      </c>
      <c r="B224" s="6">
        <v>10110</v>
      </c>
      <c r="C224" s="6" t="s">
        <v>5</v>
      </c>
      <c r="D224" s="6">
        <v>1</v>
      </c>
      <c r="E224" s="6" t="s">
        <v>1</v>
      </c>
      <c r="F224" s="6">
        <v>11</v>
      </c>
      <c r="G224" s="5" t="s">
        <v>7</v>
      </c>
      <c r="H224" s="6" t="s">
        <v>201</v>
      </c>
      <c r="I224" s="6">
        <v>2022</v>
      </c>
      <c r="J224" s="6" t="s">
        <v>231</v>
      </c>
      <c r="K224" s="6">
        <v>9</v>
      </c>
      <c r="L224" s="46">
        <v>2746.18</v>
      </c>
    </row>
    <row r="225" spans="1:12" x14ac:dyDescent="0.25">
      <c r="A225" s="5" t="s">
        <v>267</v>
      </c>
      <c r="B225" s="17">
        <v>10110</v>
      </c>
      <c r="C225" s="17" t="s">
        <v>5</v>
      </c>
      <c r="D225" s="17">
        <v>1</v>
      </c>
      <c r="E225" s="17" t="s">
        <v>1</v>
      </c>
      <c r="F225" s="17">
        <v>11</v>
      </c>
      <c r="G225" s="16" t="s">
        <v>10</v>
      </c>
      <c r="H225" s="17" t="s">
        <v>199</v>
      </c>
      <c r="I225" s="17">
        <v>2022</v>
      </c>
      <c r="J225" s="17" t="s">
        <v>231</v>
      </c>
      <c r="K225" s="17">
        <v>9</v>
      </c>
      <c r="L225" s="47">
        <v>1991.5</v>
      </c>
    </row>
    <row r="226" spans="1:12" x14ac:dyDescent="0.25">
      <c r="A226" s="5" t="s">
        <v>267</v>
      </c>
      <c r="B226" s="6">
        <v>10110</v>
      </c>
      <c r="C226" s="6" t="s">
        <v>5</v>
      </c>
      <c r="D226" s="6">
        <v>1</v>
      </c>
      <c r="E226" s="6" t="s">
        <v>1</v>
      </c>
      <c r="F226" s="6">
        <v>11</v>
      </c>
      <c r="G226" s="5" t="s">
        <v>11</v>
      </c>
      <c r="H226" s="6" t="s">
        <v>202</v>
      </c>
      <c r="I226" s="6">
        <v>2022</v>
      </c>
      <c r="J226" s="6" t="s">
        <v>231</v>
      </c>
      <c r="K226" s="6">
        <v>9</v>
      </c>
      <c r="L226" s="46">
        <v>4488.66</v>
      </c>
    </row>
    <row r="227" spans="1:12" x14ac:dyDescent="0.25">
      <c r="A227" s="5" t="s">
        <v>267</v>
      </c>
      <c r="B227" s="17">
        <v>10110</v>
      </c>
      <c r="C227" s="17" t="s">
        <v>5</v>
      </c>
      <c r="D227" s="17">
        <v>1</v>
      </c>
      <c r="E227" s="17" t="s">
        <v>1</v>
      </c>
      <c r="F227" s="17">
        <v>11</v>
      </c>
      <c r="G227" s="16" t="s">
        <v>12</v>
      </c>
      <c r="H227" s="17" t="s">
        <v>205</v>
      </c>
      <c r="I227" s="17">
        <v>2022</v>
      </c>
      <c r="J227" s="17" t="s">
        <v>231</v>
      </c>
      <c r="K227" s="17">
        <v>9</v>
      </c>
      <c r="L227" s="47">
        <v>3748.11</v>
      </c>
    </row>
    <row r="228" spans="1:12" x14ac:dyDescent="0.25">
      <c r="A228" s="5" t="s">
        <v>267</v>
      </c>
      <c r="B228" s="6">
        <v>10110</v>
      </c>
      <c r="C228" s="6" t="s">
        <v>5</v>
      </c>
      <c r="D228" s="6">
        <v>1</v>
      </c>
      <c r="E228" s="6" t="s">
        <v>1</v>
      </c>
      <c r="F228" s="6">
        <v>11</v>
      </c>
      <c r="G228" s="5" t="s">
        <v>18</v>
      </c>
      <c r="H228" s="6" t="s">
        <v>203</v>
      </c>
      <c r="I228" s="6">
        <v>2022</v>
      </c>
      <c r="J228" s="6" t="s">
        <v>231</v>
      </c>
      <c r="K228" s="6">
        <v>9</v>
      </c>
      <c r="L228" s="46">
        <v>847.03</v>
      </c>
    </row>
    <row r="229" spans="1:12" x14ac:dyDescent="0.25">
      <c r="A229" s="5" t="s">
        <v>267</v>
      </c>
      <c r="B229" s="17">
        <v>10110</v>
      </c>
      <c r="C229" s="17" t="s">
        <v>5</v>
      </c>
      <c r="D229" s="17">
        <v>1</v>
      </c>
      <c r="E229" s="17" t="s">
        <v>3</v>
      </c>
      <c r="F229" s="17">
        <v>12</v>
      </c>
      <c r="G229" s="16" t="s">
        <v>8</v>
      </c>
      <c r="H229" s="17" t="s">
        <v>206</v>
      </c>
      <c r="I229" s="17">
        <v>2022</v>
      </c>
      <c r="J229" s="17" t="s">
        <v>231</v>
      </c>
      <c r="K229" s="17">
        <v>9</v>
      </c>
      <c r="L229" s="47">
        <v>592.12</v>
      </c>
    </row>
    <row r="230" spans="1:12" x14ac:dyDescent="0.25">
      <c r="A230" s="5" t="s">
        <v>267</v>
      </c>
      <c r="B230" s="6">
        <v>10110</v>
      </c>
      <c r="C230" s="6" t="s">
        <v>20</v>
      </c>
      <c r="D230" s="6">
        <v>2</v>
      </c>
      <c r="E230" s="6" t="s">
        <v>4</v>
      </c>
      <c r="F230" s="6">
        <v>21</v>
      </c>
      <c r="G230" s="5" t="s">
        <v>13</v>
      </c>
      <c r="H230" s="6" t="s">
        <v>204</v>
      </c>
      <c r="I230" s="6">
        <v>2022</v>
      </c>
      <c r="J230" s="6" t="s">
        <v>231</v>
      </c>
      <c r="K230" s="6">
        <v>9</v>
      </c>
      <c r="L230" s="46">
        <v>947982.79</v>
      </c>
    </row>
    <row r="231" spans="1:12" x14ac:dyDescent="0.25">
      <c r="A231" s="5" t="s">
        <v>267</v>
      </c>
      <c r="B231" s="17">
        <v>10110</v>
      </c>
      <c r="C231" s="17" t="s">
        <v>20</v>
      </c>
      <c r="D231" s="17">
        <v>2</v>
      </c>
      <c r="E231" s="17" t="s">
        <v>4</v>
      </c>
      <c r="F231" s="17">
        <v>21</v>
      </c>
      <c r="G231" s="16" t="s">
        <v>14</v>
      </c>
      <c r="H231" s="17" t="s">
        <v>207</v>
      </c>
      <c r="I231" s="17">
        <v>2022</v>
      </c>
      <c r="J231" s="17" t="s">
        <v>231</v>
      </c>
      <c r="K231" s="17">
        <v>9</v>
      </c>
      <c r="L231" s="47">
        <v>5180.78</v>
      </c>
    </row>
    <row r="232" spans="1:12" x14ac:dyDescent="0.25">
      <c r="A232" s="5" t="s">
        <v>267</v>
      </c>
      <c r="B232" s="6">
        <v>10110</v>
      </c>
      <c r="C232" s="6" t="s">
        <v>5</v>
      </c>
      <c r="D232" s="6">
        <v>1</v>
      </c>
      <c r="E232" s="6" t="s">
        <v>1</v>
      </c>
      <c r="F232" s="6">
        <v>11</v>
      </c>
      <c r="G232" s="5" t="s">
        <v>6</v>
      </c>
      <c r="H232" s="6" t="s">
        <v>199</v>
      </c>
      <c r="I232" s="6">
        <v>2022</v>
      </c>
      <c r="J232" s="6" t="s">
        <v>232</v>
      </c>
      <c r="K232" s="6">
        <v>10</v>
      </c>
      <c r="L232" s="46">
        <v>59098.22</v>
      </c>
    </row>
    <row r="233" spans="1:12" x14ac:dyDescent="0.25">
      <c r="A233" s="5" t="s">
        <v>267</v>
      </c>
      <c r="B233" s="17">
        <v>10110</v>
      </c>
      <c r="C233" s="17" t="s">
        <v>5</v>
      </c>
      <c r="D233" s="17">
        <v>1</v>
      </c>
      <c r="E233" s="17" t="s">
        <v>1</v>
      </c>
      <c r="F233" s="17">
        <v>11</v>
      </c>
      <c r="G233" s="16" t="s">
        <v>9</v>
      </c>
      <c r="H233" s="17" t="s">
        <v>200</v>
      </c>
      <c r="I233" s="17">
        <v>2022</v>
      </c>
      <c r="J233" s="17" t="s">
        <v>232</v>
      </c>
      <c r="K233" s="17">
        <v>10</v>
      </c>
      <c r="L233" s="47">
        <v>1445.18</v>
      </c>
    </row>
    <row r="234" spans="1:12" x14ac:dyDescent="0.25">
      <c r="A234" s="5" t="s">
        <v>267</v>
      </c>
      <c r="B234" s="6">
        <v>10110</v>
      </c>
      <c r="C234" s="6" t="s">
        <v>5</v>
      </c>
      <c r="D234" s="6">
        <v>1</v>
      </c>
      <c r="E234" s="6" t="s">
        <v>1</v>
      </c>
      <c r="F234" s="6">
        <v>11</v>
      </c>
      <c r="G234" s="5" t="s">
        <v>7</v>
      </c>
      <c r="H234" s="6" t="s">
        <v>201</v>
      </c>
      <c r="I234" s="6">
        <v>2022</v>
      </c>
      <c r="J234" s="6" t="s">
        <v>232</v>
      </c>
      <c r="K234" s="6">
        <v>10</v>
      </c>
      <c r="L234" s="46">
        <v>2615.41</v>
      </c>
    </row>
    <row r="235" spans="1:12" x14ac:dyDescent="0.25">
      <c r="A235" s="5" t="s">
        <v>267</v>
      </c>
      <c r="B235" s="17">
        <v>10110</v>
      </c>
      <c r="C235" s="17" t="s">
        <v>5</v>
      </c>
      <c r="D235" s="17">
        <v>1</v>
      </c>
      <c r="E235" s="17" t="s">
        <v>1</v>
      </c>
      <c r="F235" s="17">
        <v>11</v>
      </c>
      <c r="G235" s="16" t="s">
        <v>10</v>
      </c>
      <c r="H235" s="17" t="s">
        <v>199</v>
      </c>
      <c r="I235" s="17">
        <v>2022</v>
      </c>
      <c r="J235" s="17" t="s">
        <v>232</v>
      </c>
      <c r="K235" s="17">
        <v>10</v>
      </c>
      <c r="L235" s="47">
        <v>1896.67</v>
      </c>
    </row>
    <row r="236" spans="1:12" x14ac:dyDescent="0.25">
      <c r="A236" s="5" t="s">
        <v>267</v>
      </c>
      <c r="B236" s="6">
        <v>10110</v>
      </c>
      <c r="C236" s="6" t="s">
        <v>5</v>
      </c>
      <c r="D236" s="6">
        <v>1</v>
      </c>
      <c r="E236" s="6" t="s">
        <v>1</v>
      </c>
      <c r="F236" s="6">
        <v>11</v>
      </c>
      <c r="G236" s="5" t="s">
        <v>11</v>
      </c>
      <c r="H236" s="6" t="s">
        <v>202</v>
      </c>
      <c r="I236" s="6">
        <v>2022</v>
      </c>
      <c r="J236" s="6" t="s">
        <v>232</v>
      </c>
      <c r="K236" s="6">
        <v>10</v>
      </c>
      <c r="L236" s="46">
        <v>4274.92</v>
      </c>
    </row>
    <row r="237" spans="1:12" x14ac:dyDescent="0.25">
      <c r="A237" s="5" t="s">
        <v>267</v>
      </c>
      <c r="B237" s="17">
        <v>10110</v>
      </c>
      <c r="C237" s="17" t="s">
        <v>5</v>
      </c>
      <c r="D237" s="17">
        <v>1</v>
      </c>
      <c r="E237" s="17" t="s">
        <v>1</v>
      </c>
      <c r="F237" s="17">
        <v>11</v>
      </c>
      <c r="G237" s="16" t="s">
        <v>12</v>
      </c>
      <c r="H237" s="17" t="s">
        <v>205</v>
      </c>
      <c r="I237" s="17">
        <v>2022</v>
      </c>
      <c r="J237" s="17" t="s">
        <v>232</v>
      </c>
      <c r="K237" s="17">
        <v>10</v>
      </c>
      <c r="L237" s="47">
        <v>3712.42</v>
      </c>
    </row>
    <row r="238" spans="1:12" x14ac:dyDescent="0.25">
      <c r="A238" s="5" t="s">
        <v>267</v>
      </c>
      <c r="B238" s="6">
        <v>10110</v>
      </c>
      <c r="C238" s="6" t="s">
        <v>5</v>
      </c>
      <c r="D238" s="6">
        <v>1</v>
      </c>
      <c r="E238" s="6" t="s">
        <v>1</v>
      </c>
      <c r="F238" s="6">
        <v>11</v>
      </c>
      <c r="G238" s="5" t="s">
        <v>18</v>
      </c>
      <c r="H238" s="6" t="s">
        <v>203</v>
      </c>
      <c r="I238" s="6">
        <v>2022</v>
      </c>
      <c r="J238" s="6" t="s">
        <v>232</v>
      </c>
      <c r="K238" s="6">
        <v>10</v>
      </c>
      <c r="L238" s="46">
        <v>806.69</v>
      </c>
    </row>
    <row r="239" spans="1:12" x14ac:dyDescent="0.25">
      <c r="A239" s="5" t="s">
        <v>267</v>
      </c>
      <c r="B239" s="17">
        <v>10110</v>
      </c>
      <c r="C239" s="17" t="s">
        <v>5</v>
      </c>
      <c r="D239" s="17">
        <v>1</v>
      </c>
      <c r="E239" s="17" t="s">
        <v>3</v>
      </c>
      <c r="F239" s="17">
        <v>12</v>
      </c>
      <c r="G239" s="16" t="s">
        <v>8</v>
      </c>
      <c r="H239" s="17" t="s">
        <v>206</v>
      </c>
      <c r="I239" s="17">
        <v>2022</v>
      </c>
      <c r="J239" s="17" t="s">
        <v>232</v>
      </c>
      <c r="K239" s="17">
        <v>10</v>
      </c>
      <c r="L239" s="47">
        <v>144900</v>
      </c>
    </row>
    <row r="240" spans="1:12" x14ac:dyDescent="0.25">
      <c r="A240" s="5" t="s">
        <v>267</v>
      </c>
      <c r="B240" s="6">
        <v>10110</v>
      </c>
      <c r="C240" s="6" t="s">
        <v>20</v>
      </c>
      <c r="D240" s="6">
        <v>2</v>
      </c>
      <c r="E240" s="6" t="s">
        <v>4</v>
      </c>
      <c r="F240" s="6">
        <v>21</v>
      </c>
      <c r="G240" s="5" t="s">
        <v>13</v>
      </c>
      <c r="H240" s="6" t="s">
        <v>204</v>
      </c>
      <c r="I240" s="6">
        <v>2022</v>
      </c>
      <c r="J240" s="6" t="s">
        <v>232</v>
      </c>
      <c r="K240" s="6">
        <v>10</v>
      </c>
      <c r="L240" s="46">
        <v>1052336.8600000001</v>
      </c>
    </row>
    <row r="241" spans="1:12" x14ac:dyDescent="0.25">
      <c r="A241" s="5" t="s">
        <v>267</v>
      </c>
      <c r="B241" s="17">
        <v>10110</v>
      </c>
      <c r="C241" s="17" t="s">
        <v>20</v>
      </c>
      <c r="D241" s="17">
        <v>2</v>
      </c>
      <c r="E241" s="17" t="s">
        <v>4</v>
      </c>
      <c r="F241" s="17">
        <v>21</v>
      </c>
      <c r="G241" s="16" t="s">
        <v>14</v>
      </c>
      <c r="H241" s="17" t="s">
        <v>207</v>
      </c>
      <c r="I241" s="17">
        <v>2022</v>
      </c>
      <c r="J241" s="17" t="s">
        <v>232</v>
      </c>
      <c r="K241" s="17">
        <v>10</v>
      </c>
      <c r="L241" s="47">
        <v>4934.08</v>
      </c>
    </row>
    <row r="242" spans="1:12" x14ac:dyDescent="0.25">
      <c r="A242" s="5" t="s">
        <v>267</v>
      </c>
      <c r="B242" s="6">
        <v>10110</v>
      </c>
      <c r="C242" s="6" t="s">
        <v>5</v>
      </c>
      <c r="D242" s="6">
        <v>1</v>
      </c>
      <c r="E242" s="6" t="s">
        <v>1</v>
      </c>
      <c r="F242" s="6">
        <v>11</v>
      </c>
      <c r="G242" s="5" t="s">
        <v>6</v>
      </c>
      <c r="H242" s="6" t="s">
        <v>199</v>
      </c>
      <c r="I242" s="6">
        <v>2022</v>
      </c>
      <c r="J242" s="6" t="s">
        <v>233</v>
      </c>
      <c r="K242" s="6">
        <v>11</v>
      </c>
      <c r="L242" s="46">
        <v>50345</v>
      </c>
    </row>
    <row r="243" spans="1:12" x14ac:dyDescent="0.25">
      <c r="A243" s="5" t="s">
        <v>267</v>
      </c>
      <c r="B243" s="17">
        <v>10110</v>
      </c>
      <c r="C243" s="17" t="s">
        <v>5</v>
      </c>
      <c r="D243" s="17">
        <v>1</v>
      </c>
      <c r="E243" s="17" t="s">
        <v>1</v>
      </c>
      <c r="F243" s="17">
        <v>11</v>
      </c>
      <c r="G243" s="16" t="s">
        <v>9</v>
      </c>
      <c r="H243" s="17" t="s">
        <v>200</v>
      </c>
      <c r="I243" s="17">
        <v>2022</v>
      </c>
      <c r="J243" s="17" t="s">
        <v>233</v>
      </c>
      <c r="K243" s="17">
        <v>11</v>
      </c>
      <c r="L243" s="47">
        <v>1305</v>
      </c>
    </row>
    <row r="244" spans="1:12" x14ac:dyDescent="0.25">
      <c r="A244" s="5" t="s">
        <v>267</v>
      </c>
      <c r="B244" s="6">
        <v>10110</v>
      </c>
      <c r="C244" s="6" t="s">
        <v>5</v>
      </c>
      <c r="D244" s="6">
        <v>1</v>
      </c>
      <c r="E244" s="6" t="s">
        <v>1</v>
      </c>
      <c r="F244" s="6">
        <v>11</v>
      </c>
      <c r="G244" s="5" t="s">
        <v>7</v>
      </c>
      <c r="H244" s="6" t="s">
        <v>201</v>
      </c>
      <c r="I244" s="6">
        <v>2022</v>
      </c>
      <c r="J244" s="6" t="s">
        <v>233</v>
      </c>
      <c r="K244" s="6">
        <v>11</v>
      </c>
      <c r="L244" s="46">
        <v>2361.71</v>
      </c>
    </row>
    <row r="245" spans="1:12" x14ac:dyDescent="0.25">
      <c r="A245" s="5" t="s">
        <v>267</v>
      </c>
      <c r="B245" s="17">
        <v>10110</v>
      </c>
      <c r="C245" s="17" t="s">
        <v>5</v>
      </c>
      <c r="D245" s="17">
        <v>1</v>
      </c>
      <c r="E245" s="17" t="s">
        <v>1</v>
      </c>
      <c r="F245" s="17">
        <v>11</v>
      </c>
      <c r="G245" s="16" t="s">
        <v>10</v>
      </c>
      <c r="H245" s="17" t="s">
        <v>199</v>
      </c>
      <c r="I245" s="17">
        <v>2022</v>
      </c>
      <c r="J245" s="17" t="s">
        <v>233</v>
      </c>
      <c r="K245" s="17">
        <v>11</v>
      </c>
      <c r="L245" s="47">
        <v>1712.7</v>
      </c>
    </row>
    <row r="246" spans="1:12" x14ac:dyDescent="0.25">
      <c r="A246" s="5" t="s">
        <v>267</v>
      </c>
      <c r="B246" s="6">
        <v>10110</v>
      </c>
      <c r="C246" s="6" t="s">
        <v>5</v>
      </c>
      <c r="D246" s="6">
        <v>1</v>
      </c>
      <c r="E246" s="6" t="s">
        <v>1</v>
      </c>
      <c r="F246" s="6">
        <v>11</v>
      </c>
      <c r="G246" s="5" t="s">
        <v>11</v>
      </c>
      <c r="H246" s="6" t="s">
        <v>202</v>
      </c>
      <c r="I246" s="6">
        <v>2022</v>
      </c>
      <c r="J246" s="6" t="s">
        <v>233</v>
      </c>
      <c r="K246" s="6">
        <v>11</v>
      </c>
      <c r="L246" s="46">
        <v>3860.24</v>
      </c>
    </row>
    <row r="247" spans="1:12" x14ac:dyDescent="0.25">
      <c r="A247" s="5" t="s">
        <v>267</v>
      </c>
      <c r="B247" s="17">
        <v>10110</v>
      </c>
      <c r="C247" s="17" t="s">
        <v>5</v>
      </c>
      <c r="D247" s="17">
        <v>1</v>
      </c>
      <c r="E247" s="17" t="s">
        <v>1</v>
      </c>
      <c r="F247" s="17">
        <v>11</v>
      </c>
      <c r="G247" s="16" t="s">
        <v>12</v>
      </c>
      <c r="H247" s="17" t="s">
        <v>205</v>
      </c>
      <c r="I247" s="17">
        <v>2022</v>
      </c>
      <c r="J247" s="17" t="s">
        <v>233</v>
      </c>
      <c r="K247" s="17">
        <v>11</v>
      </c>
      <c r="L247" s="47">
        <v>3223.38</v>
      </c>
    </row>
    <row r="248" spans="1:12" x14ac:dyDescent="0.25">
      <c r="A248" s="5" t="s">
        <v>267</v>
      </c>
      <c r="B248" s="6">
        <v>10110</v>
      </c>
      <c r="C248" s="6" t="s">
        <v>5</v>
      </c>
      <c r="D248" s="6">
        <v>1</v>
      </c>
      <c r="E248" s="6" t="s">
        <v>1</v>
      </c>
      <c r="F248" s="6">
        <v>11</v>
      </c>
      <c r="G248" s="5" t="s">
        <v>18</v>
      </c>
      <c r="H248" s="6" t="s">
        <v>203</v>
      </c>
      <c r="I248" s="6">
        <v>2022</v>
      </c>
      <c r="J248" s="6" t="s">
        <v>233</v>
      </c>
      <c r="K248" s="6">
        <v>11</v>
      </c>
      <c r="L248" s="46">
        <v>728.44</v>
      </c>
    </row>
    <row r="249" spans="1:12" x14ac:dyDescent="0.25">
      <c r="A249" s="5" t="s">
        <v>267</v>
      </c>
      <c r="B249" s="17">
        <v>10110</v>
      </c>
      <c r="C249" s="17" t="s">
        <v>5</v>
      </c>
      <c r="D249" s="17">
        <v>1</v>
      </c>
      <c r="E249" s="17" t="s">
        <v>3</v>
      </c>
      <c r="F249" s="17">
        <v>12</v>
      </c>
      <c r="G249" s="16" t="s">
        <v>8</v>
      </c>
      <c r="H249" s="17" t="s">
        <v>206</v>
      </c>
      <c r="I249" s="17">
        <v>2022</v>
      </c>
      <c r="J249" s="17" t="s">
        <v>233</v>
      </c>
      <c r="K249" s="17">
        <v>11</v>
      </c>
      <c r="L249" s="47">
        <v>509.23</v>
      </c>
    </row>
    <row r="250" spans="1:12" x14ac:dyDescent="0.25">
      <c r="A250" s="5" t="s">
        <v>267</v>
      </c>
      <c r="B250" s="6">
        <v>10110</v>
      </c>
      <c r="C250" s="6" t="s">
        <v>20</v>
      </c>
      <c r="D250" s="6">
        <v>2</v>
      </c>
      <c r="E250" s="6" t="s">
        <v>4</v>
      </c>
      <c r="F250" s="6">
        <v>21</v>
      </c>
      <c r="G250" s="5" t="s">
        <v>13</v>
      </c>
      <c r="H250" s="6" t="s">
        <v>204</v>
      </c>
      <c r="I250" s="6">
        <v>2022</v>
      </c>
      <c r="J250" s="6" t="s">
        <v>233</v>
      </c>
      <c r="K250" s="6">
        <v>11</v>
      </c>
      <c r="L250" s="50">
        <v>902840.74</v>
      </c>
    </row>
    <row r="251" spans="1:12" x14ac:dyDescent="0.25">
      <c r="A251" s="5" t="s">
        <v>267</v>
      </c>
      <c r="B251" s="17">
        <v>10110</v>
      </c>
      <c r="C251" s="17" t="s">
        <v>20</v>
      </c>
      <c r="D251" s="17">
        <v>2</v>
      </c>
      <c r="E251" s="17" t="s">
        <v>4</v>
      </c>
      <c r="F251" s="17">
        <v>21</v>
      </c>
      <c r="G251" s="16" t="s">
        <v>14</v>
      </c>
      <c r="H251" s="17" t="s">
        <v>207</v>
      </c>
      <c r="I251" s="17">
        <v>2022</v>
      </c>
      <c r="J251" s="17" t="s">
        <v>233</v>
      </c>
      <c r="K251" s="17">
        <v>11</v>
      </c>
      <c r="L251" s="17">
        <v>4455.4799999999996</v>
      </c>
    </row>
    <row r="252" spans="1:12" x14ac:dyDescent="0.25">
      <c r="A252" s="5" t="s">
        <v>267</v>
      </c>
      <c r="B252" s="6">
        <v>10110</v>
      </c>
      <c r="C252" s="6" t="s">
        <v>5</v>
      </c>
      <c r="D252" s="6">
        <v>1</v>
      </c>
      <c r="E252" s="6" t="s">
        <v>1</v>
      </c>
      <c r="F252" s="6">
        <v>11</v>
      </c>
      <c r="G252" s="5" t="s">
        <v>6</v>
      </c>
      <c r="H252" s="6" t="s">
        <v>199</v>
      </c>
      <c r="I252" s="6">
        <v>2022</v>
      </c>
      <c r="J252" s="6" t="s">
        <v>234</v>
      </c>
      <c r="K252" s="6">
        <v>12</v>
      </c>
      <c r="L252" s="46">
        <v>50824.47</v>
      </c>
    </row>
    <row r="253" spans="1:12" x14ac:dyDescent="0.25">
      <c r="A253" s="5" t="s">
        <v>267</v>
      </c>
      <c r="B253" s="17">
        <v>10110</v>
      </c>
      <c r="C253" s="17" t="s">
        <v>5</v>
      </c>
      <c r="D253" s="17">
        <v>1</v>
      </c>
      <c r="E253" s="17" t="s">
        <v>1</v>
      </c>
      <c r="F253" s="17">
        <v>11</v>
      </c>
      <c r="G253" s="16" t="s">
        <v>9</v>
      </c>
      <c r="H253" s="17" t="s">
        <v>200</v>
      </c>
      <c r="I253" s="17">
        <v>2022</v>
      </c>
      <c r="J253" s="17" t="s">
        <v>234</v>
      </c>
      <c r="K253" s="17">
        <v>12</v>
      </c>
      <c r="L253" s="47">
        <v>1242.8499999999999</v>
      </c>
    </row>
    <row r="254" spans="1:12" x14ac:dyDescent="0.25">
      <c r="A254" s="5" t="s">
        <v>267</v>
      </c>
      <c r="B254" s="6">
        <v>10110</v>
      </c>
      <c r="C254" s="6" t="s">
        <v>5</v>
      </c>
      <c r="D254" s="6">
        <v>1</v>
      </c>
      <c r="E254" s="6" t="s">
        <v>1</v>
      </c>
      <c r="F254" s="6">
        <v>11</v>
      </c>
      <c r="G254" s="5" t="s">
        <v>7</v>
      </c>
      <c r="H254" s="6" t="s">
        <v>201</v>
      </c>
      <c r="I254" s="6">
        <v>2022</v>
      </c>
      <c r="J254" s="6" t="s">
        <v>234</v>
      </c>
      <c r="K254" s="6">
        <v>12</v>
      </c>
      <c r="L254" s="46">
        <v>2249.25</v>
      </c>
    </row>
    <row r="255" spans="1:12" x14ac:dyDescent="0.25">
      <c r="A255" s="5" t="s">
        <v>267</v>
      </c>
      <c r="B255" s="17">
        <v>10110</v>
      </c>
      <c r="C255" s="17" t="s">
        <v>5</v>
      </c>
      <c r="D255" s="17">
        <v>1</v>
      </c>
      <c r="E255" s="17" t="s">
        <v>1</v>
      </c>
      <c r="F255" s="17">
        <v>11</v>
      </c>
      <c r="G255" s="16" t="s">
        <v>10</v>
      </c>
      <c r="H255" s="17" t="s">
        <v>199</v>
      </c>
      <c r="I255" s="17">
        <v>2022</v>
      </c>
      <c r="J255" s="17" t="s">
        <v>234</v>
      </c>
      <c r="K255" s="17">
        <v>12</v>
      </c>
      <c r="L255" s="47">
        <v>1631.14</v>
      </c>
    </row>
    <row r="256" spans="1:12" x14ac:dyDescent="0.25">
      <c r="A256" s="5" t="s">
        <v>267</v>
      </c>
      <c r="B256" s="6">
        <v>10110</v>
      </c>
      <c r="C256" s="6" t="s">
        <v>5</v>
      </c>
      <c r="D256" s="6">
        <v>1</v>
      </c>
      <c r="E256" s="6" t="s">
        <v>1</v>
      </c>
      <c r="F256" s="6">
        <v>11</v>
      </c>
      <c r="G256" s="5" t="s">
        <v>11</v>
      </c>
      <c r="H256" s="6" t="s">
        <v>202</v>
      </c>
      <c r="I256" s="6">
        <v>2022</v>
      </c>
      <c r="J256" s="6" t="s">
        <v>234</v>
      </c>
      <c r="K256" s="6">
        <v>12</v>
      </c>
      <c r="L256" s="46">
        <v>3676.44</v>
      </c>
    </row>
    <row r="257" spans="1:12" x14ac:dyDescent="0.25">
      <c r="A257" s="5" t="s">
        <v>267</v>
      </c>
      <c r="B257" s="17">
        <v>10110</v>
      </c>
      <c r="C257" s="17" t="s">
        <v>5</v>
      </c>
      <c r="D257" s="17">
        <v>1</v>
      </c>
      <c r="E257" s="17" t="s">
        <v>1</v>
      </c>
      <c r="F257" s="17">
        <v>11</v>
      </c>
      <c r="G257" s="16" t="s">
        <v>12</v>
      </c>
      <c r="H257" s="17" t="s">
        <v>205</v>
      </c>
      <c r="I257" s="17">
        <v>2022</v>
      </c>
      <c r="J257" s="17" t="s">
        <v>234</v>
      </c>
      <c r="K257" s="17">
        <v>12</v>
      </c>
      <c r="L257" s="47">
        <v>3192.68</v>
      </c>
    </row>
    <row r="258" spans="1:12" x14ac:dyDescent="0.25">
      <c r="A258" s="5" t="s">
        <v>267</v>
      </c>
      <c r="B258" s="6">
        <v>10110</v>
      </c>
      <c r="C258" s="6" t="s">
        <v>5</v>
      </c>
      <c r="D258" s="6">
        <v>1</v>
      </c>
      <c r="E258" s="6" t="s">
        <v>1</v>
      </c>
      <c r="F258" s="6">
        <v>11</v>
      </c>
      <c r="G258" s="5" t="s">
        <v>18</v>
      </c>
      <c r="H258" s="6" t="s">
        <v>203</v>
      </c>
      <c r="I258" s="6">
        <v>2022</v>
      </c>
      <c r="J258" s="6" t="s">
        <v>234</v>
      </c>
      <c r="K258" s="6">
        <v>12</v>
      </c>
      <c r="L258" s="50">
        <v>693.75</v>
      </c>
    </row>
    <row r="259" spans="1:12" x14ac:dyDescent="0.25">
      <c r="A259" s="5" t="s">
        <v>267</v>
      </c>
      <c r="B259" s="17">
        <v>10110</v>
      </c>
      <c r="C259" s="17" t="s">
        <v>5</v>
      </c>
      <c r="D259" s="17">
        <v>1</v>
      </c>
      <c r="E259" s="17" t="s">
        <v>3</v>
      </c>
      <c r="F259" s="17">
        <v>12</v>
      </c>
      <c r="G259" s="16" t="s">
        <v>8</v>
      </c>
      <c r="H259" s="17" t="s">
        <v>206</v>
      </c>
      <c r="I259" s="17">
        <v>2022</v>
      </c>
      <c r="J259" s="17" t="s">
        <v>234</v>
      </c>
      <c r="K259" s="17">
        <v>12</v>
      </c>
      <c r="L259" s="17">
        <v>124614</v>
      </c>
    </row>
    <row r="260" spans="1:12" x14ac:dyDescent="0.25">
      <c r="A260" s="5" t="s">
        <v>267</v>
      </c>
      <c r="B260" s="6">
        <v>10110</v>
      </c>
      <c r="C260" s="6" t="s">
        <v>20</v>
      </c>
      <c r="D260" s="6">
        <v>2</v>
      </c>
      <c r="E260" s="6" t="s">
        <v>4</v>
      </c>
      <c r="F260" s="6">
        <v>21</v>
      </c>
      <c r="G260" s="5" t="s">
        <v>13</v>
      </c>
      <c r="H260" s="6" t="s">
        <v>204</v>
      </c>
      <c r="I260" s="6">
        <v>2022</v>
      </c>
      <c r="J260" s="6" t="s">
        <v>234</v>
      </c>
      <c r="K260" s="6">
        <v>12</v>
      </c>
      <c r="L260" s="46">
        <v>1002225.58</v>
      </c>
    </row>
    <row r="261" spans="1:12" x14ac:dyDescent="0.25">
      <c r="A261" s="5" t="s">
        <v>267</v>
      </c>
      <c r="B261" s="17">
        <v>10110</v>
      </c>
      <c r="C261" s="17" t="s">
        <v>20</v>
      </c>
      <c r="D261" s="17">
        <v>2</v>
      </c>
      <c r="E261" s="17" t="s">
        <v>4</v>
      </c>
      <c r="F261" s="17">
        <v>21</v>
      </c>
      <c r="G261" s="16" t="s">
        <v>14</v>
      </c>
      <c r="H261" s="17" t="s">
        <v>207</v>
      </c>
      <c r="I261" s="17">
        <v>2022</v>
      </c>
      <c r="J261" s="17" t="s">
        <v>234</v>
      </c>
      <c r="K261" s="17">
        <v>12</v>
      </c>
      <c r="L261" s="47">
        <v>4243.3</v>
      </c>
    </row>
    <row r="262" spans="1:12" x14ac:dyDescent="0.25">
      <c r="A262" s="5" t="s">
        <v>267</v>
      </c>
      <c r="B262" s="6">
        <v>10110</v>
      </c>
      <c r="C262" s="6" t="s">
        <v>5</v>
      </c>
      <c r="D262" s="6">
        <v>1</v>
      </c>
      <c r="E262" s="6" t="s">
        <v>1</v>
      </c>
      <c r="F262" s="6">
        <v>11</v>
      </c>
      <c r="G262" s="5" t="s">
        <v>6</v>
      </c>
      <c r="H262" s="6" t="s">
        <v>199</v>
      </c>
      <c r="I262" s="6">
        <v>2023</v>
      </c>
      <c r="J262" s="6" t="s">
        <v>179</v>
      </c>
      <c r="K262" s="6">
        <v>1</v>
      </c>
      <c r="L262" s="50">
        <v>45123.5</v>
      </c>
    </row>
    <row r="263" spans="1:12" x14ac:dyDescent="0.25">
      <c r="A263" s="5" t="s">
        <v>267</v>
      </c>
      <c r="B263" s="17">
        <v>10110</v>
      </c>
      <c r="C263" s="17" t="s">
        <v>5</v>
      </c>
      <c r="D263" s="17">
        <v>1</v>
      </c>
      <c r="E263" s="17" t="s">
        <v>1</v>
      </c>
      <c r="F263" s="17">
        <v>11</v>
      </c>
      <c r="G263" s="16" t="s">
        <v>9</v>
      </c>
      <c r="H263" s="17" t="s">
        <v>200</v>
      </c>
      <c r="I263" s="17">
        <v>2023</v>
      </c>
      <c r="J263" s="17" t="s">
        <v>179</v>
      </c>
      <c r="K263" s="17">
        <v>1</v>
      </c>
      <c r="L263" s="17">
        <v>3636.97</v>
      </c>
    </row>
    <row r="264" spans="1:12" x14ac:dyDescent="0.25">
      <c r="A264" s="5" t="s">
        <v>267</v>
      </c>
      <c r="B264" s="6">
        <v>10110</v>
      </c>
      <c r="C264" s="6" t="s">
        <v>5</v>
      </c>
      <c r="D264" s="6">
        <v>1</v>
      </c>
      <c r="E264" s="6" t="s">
        <v>1</v>
      </c>
      <c r="F264" s="6">
        <v>11</v>
      </c>
      <c r="G264" s="5" t="s">
        <v>7</v>
      </c>
      <c r="H264" s="6" t="s">
        <v>201</v>
      </c>
      <c r="I264" s="6">
        <v>2023</v>
      </c>
      <c r="J264" s="6" t="s">
        <v>179</v>
      </c>
      <c r="K264" s="6">
        <v>1</v>
      </c>
      <c r="L264" s="46">
        <v>4440.22</v>
      </c>
    </row>
    <row r="265" spans="1:12" x14ac:dyDescent="0.25">
      <c r="A265" s="5" t="s">
        <v>267</v>
      </c>
      <c r="B265" s="17">
        <v>10110</v>
      </c>
      <c r="C265" s="17" t="s">
        <v>5</v>
      </c>
      <c r="D265" s="17">
        <v>1</v>
      </c>
      <c r="E265" s="17" t="s">
        <v>1</v>
      </c>
      <c r="F265" s="17">
        <v>11</v>
      </c>
      <c r="G265" s="16" t="s">
        <v>10</v>
      </c>
      <c r="H265" s="17" t="s">
        <v>199</v>
      </c>
      <c r="I265" s="17">
        <v>2023</v>
      </c>
      <c r="J265" s="17" t="s">
        <v>179</v>
      </c>
      <c r="K265" s="17">
        <v>1</v>
      </c>
      <c r="L265" s="47">
        <v>1973.43</v>
      </c>
    </row>
    <row r="266" spans="1:12" x14ac:dyDescent="0.25">
      <c r="A266" s="5" t="s">
        <v>267</v>
      </c>
      <c r="B266" s="6">
        <v>10110</v>
      </c>
      <c r="C266" s="6" t="s">
        <v>5</v>
      </c>
      <c r="D266" s="6">
        <v>1</v>
      </c>
      <c r="E266" s="6" t="s">
        <v>1</v>
      </c>
      <c r="F266" s="6">
        <v>11</v>
      </c>
      <c r="G266" s="5" t="s">
        <v>11</v>
      </c>
      <c r="H266" s="6" t="s">
        <v>202</v>
      </c>
      <c r="I266" s="6">
        <v>2023</v>
      </c>
      <c r="J266" s="6" t="s">
        <v>179</v>
      </c>
      <c r="K266" s="6">
        <v>1</v>
      </c>
      <c r="L266" s="46">
        <v>5579.31</v>
      </c>
    </row>
    <row r="267" spans="1:12" x14ac:dyDescent="0.25">
      <c r="A267" s="5" t="s">
        <v>267</v>
      </c>
      <c r="B267" s="17">
        <v>10110</v>
      </c>
      <c r="C267" s="17" t="s">
        <v>5</v>
      </c>
      <c r="D267" s="17">
        <v>1</v>
      </c>
      <c r="E267" s="17" t="s">
        <v>1</v>
      </c>
      <c r="F267" s="17">
        <v>11</v>
      </c>
      <c r="G267" s="16" t="s">
        <v>12</v>
      </c>
      <c r="H267" s="17" t="s">
        <v>205</v>
      </c>
      <c r="I267" s="17">
        <v>2023</v>
      </c>
      <c r="J267" s="17" t="s">
        <v>179</v>
      </c>
      <c r="K267" s="17">
        <v>1</v>
      </c>
      <c r="L267" s="47">
        <v>5095.2</v>
      </c>
    </row>
    <row r="268" spans="1:12" x14ac:dyDescent="0.25">
      <c r="A268" s="5" t="s">
        <v>267</v>
      </c>
      <c r="B268" s="6">
        <v>10110</v>
      </c>
      <c r="C268" s="6" t="s">
        <v>5</v>
      </c>
      <c r="D268" s="6">
        <v>1</v>
      </c>
      <c r="E268" s="6" t="s">
        <v>1</v>
      </c>
      <c r="F268" s="6">
        <v>11</v>
      </c>
      <c r="G268" s="5" t="s">
        <v>18</v>
      </c>
      <c r="H268" s="6" t="s">
        <v>203</v>
      </c>
      <c r="I268" s="6">
        <v>2023</v>
      </c>
      <c r="J268" s="6" t="s">
        <v>179</v>
      </c>
      <c r="K268" s="6">
        <v>1</v>
      </c>
      <c r="L268" s="46">
        <v>3198.73</v>
      </c>
    </row>
    <row r="269" spans="1:12" x14ac:dyDescent="0.25">
      <c r="A269" s="5" t="s">
        <v>267</v>
      </c>
      <c r="B269" s="17">
        <v>10110</v>
      </c>
      <c r="C269" s="17" t="s">
        <v>5</v>
      </c>
      <c r="D269" s="17">
        <v>1</v>
      </c>
      <c r="E269" s="17" t="s">
        <v>3</v>
      </c>
      <c r="F269" s="17">
        <v>12</v>
      </c>
      <c r="G269" s="16" t="s">
        <v>8</v>
      </c>
      <c r="H269" s="17" t="s">
        <v>206</v>
      </c>
      <c r="I269" s="17">
        <v>2023</v>
      </c>
      <c r="J269" s="17" t="s">
        <v>179</v>
      </c>
      <c r="K269" s="17">
        <v>1</v>
      </c>
      <c r="L269" s="47">
        <v>1456.99</v>
      </c>
    </row>
    <row r="270" spans="1:12" x14ac:dyDescent="0.25">
      <c r="A270" s="5" t="s">
        <v>267</v>
      </c>
      <c r="B270" s="6">
        <v>10110</v>
      </c>
      <c r="C270" s="6" t="s">
        <v>20</v>
      </c>
      <c r="D270" s="6">
        <v>2</v>
      </c>
      <c r="E270" s="6" t="s">
        <v>4</v>
      </c>
      <c r="F270" s="6">
        <v>21</v>
      </c>
      <c r="G270" s="5" t="s">
        <v>13</v>
      </c>
      <c r="H270" s="6" t="s">
        <v>204</v>
      </c>
      <c r="I270" s="6">
        <v>2023</v>
      </c>
      <c r="J270" s="6" t="s">
        <v>179</v>
      </c>
      <c r="K270" s="6">
        <v>1</v>
      </c>
      <c r="L270" s="46">
        <v>722272.59</v>
      </c>
    </row>
    <row r="271" spans="1:12" x14ac:dyDescent="0.25">
      <c r="A271" s="5" t="s">
        <v>267</v>
      </c>
      <c r="B271" s="17">
        <v>10110</v>
      </c>
      <c r="C271" s="17" t="s">
        <v>20</v>
      </c>
      <c r="D271" s="17">
        <v>2</v>
      </c>
      <c r="E271" s="17" t="s">
        <v>4</v>
      </c>
      <c r="F271" s="17">
        <v>21</v>
      </c>
      <c r="G271" s="16" t="s">
        <v>14</v>
      </c>
      <c r="H271" s="17" t="s">
        <v>207</v>
      </c>
      <c r="I271" s="17">
        <v>2023</v>
      </c>
      <c r="J271" s="17" t="s">
        <v>179</v>
      </c>
      <c r="K271" s="17">
        <v>1</v>
      </c>
      <c r="L271" s="47">
        <v>0</v>
      </c>
    </row>
    <row r="272" spans="1:12" x14ac:dyDescent="0.25">
      <c r="A272" s="5" t="s">
        <v>267</v>
      </c>
      <c r="B272" s="6">
        <v>10110</v>
      </c>
      <c r="C272" s="6" t="s">
        <v>5</v>
      </c>
      <c r="D272" s="6">
        <v>1</v>
      </c>
      <c r="E272" s="6" t="s">
        <v>1</v>
      </c>
      <c r="F272" s="6">
        <v>11</v>
      </c>
      <c r="G272" s="5" t="s">
        <v>6</v>
      </c>
      <c r="H272" s="6" t="s">
        <v>199</v>
      </c>
      <c r="I272" s="6">
        <v>2023</v>
      </c>
      <c r="J272" s="6" t="s">
        <v>180</v>
      </c>
      <c r="K272" s="6">
        <v>2</v>
      </c>
      <c r="L272" s="46">
        <v>45123.5</v>
      </c>
    </row>
    <row r="273" spans="1:12" x14ac:dyDescent="0.25">
      <c r="A273" s="5" t="s">
        <v>267</v>
      </c>
      <c r="B273" s="17">
        <v>10110</v>
      </c>
      <c r="C273" s="17" t="s">
        <v>5</v>
      </c>
      <c r="D273" s="17">
        <v>1</v>
      </c>
      <c r="E273" s="17" t="s">
        <v>1</v>
      </c>
      <c r="F273" s="17">
        <v>11</v>
      </c>
      <c r="G273" s="16" t="s">
        <v>9</v>
      </c>
      <c r="H273" s="17" t="s">
        <v>200</v>
      </c>
      <c r="I273" s="17">
        <v>2023</v>
      </c>
      <c r="J273" s="17" t="s">
        <v>180</v>
      </c>
      <c r="K273" s="17">
        <v>2</v>
      </c>
      <c r="L273" s="47">
        <v>3636.97</v>
      </c>
    </row>
    <row r="274" spans="1:12" x14ac:dyDescent="0.25">
      <c r="A274" s="5" t="s">
        <v>267</v>
      </c>
      <c r="B274" s="6">
        <v>10110</v>
      </c>
      <c r="C274" s="6" t="s">
        <v>5</v>
      </c>
      <c r="D274" s="6">
        <v>1</v>
      </c>
      <c r="E274" s="6" t="s">
        <v>1</v>
      </c>
      <c r="F274" s="6">
        <v>11</v>
      </c>
      <c r="G274" s="5" t="s">
        <v>7</v>
      </c>
      <c r="H274" s="6" t="s">
        <v>201</v>
      </c>
      <c r="I274" s="6">
        <v>2023</v>
      </c>
      <c r="J274" s="6" t="s">
        <v>180</v>
      </c>
      <c r="K274" s="6">
        <v>2</v>
      </c>
      <c r="L274" s="46">
        <v>4440.22</v>
      </c>
    </row>
    <row r="275" spans="1:12" x14ac:dyDescent="0.25">
      <c r="A275" s="5" t="s">
        <v>267</v>
      </c>
      <c r="B275" s="17">
        <v>10110</v>
      </c>
      <c r="C275" s="17" t="s">
        <v>5</v>
      </c>
      <c r="D275" s="17">
        <v>1</v>
      </c>
      <c r="E275" s="17" t="s">
        <v>1</v>
      </c>
      <c r="F275" s="17">
        <v>11</v>
      </c>
      <c r="G275" s="16" t="s">
        <v>10</v>
      </c>
      <c r="H275" s="17" t="s">
        <v>199</v>
      </c>
      <c r="I275" s="17">
        <v>2023</v>
      </c>
      <c r="J275" s="17" t="s">
        <v>180</v>
      </c>
      <c r="K275" s="17">
        <v>2</v>
      </c>
      <c r="L275" s="47">
        <v>1973.43</v>
      </c>
    </row>
    <row r="276" spans="1:12" x14ac:dyDescent="0.25">
      <c r="A276" s="5" t="s">
        <v>267</v>
      </c>
      <c r="B276" s="6">
        <v>10110</v>
      </c>
      <c r="C276" s="6" t="s">
        <v>5</v>
      </c>
      <c r="D276" s="6">
        <v>1</v>
      </c>
      <c r="E276" s="6" t="s">
        <v>1</v>
      </c>
      <c r="F276" s="6">
        <v>11</v>
      </c>
      <c r="G276" s="5" t="s">
        <v>11</v>
      </c>
      <c r="H276" s="6" t="s">
        <v>202</v>
      </c>
      <c r="I276" s="6">
        <v>2023</v>
      </c>
      <c r="J276" s="6" t="s">
        <v>180</v>
      </c>
      <c r="K276" s="6">
        <v>2</v>
      </c>
      <c r="L276" s="50">
        <v>5579.31</v>
      </c>
    </row>
    <row r="277" spans="1:12" x14ac:dyDescent="0.25">
      <c r="A277" s="5" t="s">
        <v>267</v>
      </c>
      <c r="B277" s="17">
        <v>10110</v>
      </c>
      <c r="C277" s="17" t="s">
        <v>5</v>
      </c>
      <c r="D277" s="17">
        <v>1</v>
      </c>
      <c r="E277" s="17" t="s">
        <v>1</v>
      </c>
      <c r="F277" s="17">
        <v>11</v>
      </c>
      <c r="G277" s="16" t="s">
        <v>12</v>
      </c>
      <c r="H277" s="17" t="s">
        <v>205</v>
      </c>
      <c r="I277" s="17">
        <v>2023</v>
      </c>
      <c r="J277" s="17" t="s">
        <v>180</v>
      </c>
      <c r="K277" s="17">
        <v>2</v>
      </c>
      <c r="L277" s="17">
        <v>5095.2</v>
      </c>
    </row>
    <row r="278" spans="1:12" x14ac:dyDescent="0.25">
      <c r="A278" s="5" t="s">
        <v>267</v>
      </c>
      <c r="B278" s="6">
        <v>10110</v>
      </c>
      <c r="C278" s="6" t="s">
        <v>5</v>
      </c>
      <c r="D278" s="6">
        <v>1</v>
      </c>
      <c r="E278" s="6" t="s">
        <v>1</v>
      </c>
      <c r="F278" s="6">
        <v>11</v>
      </c>
      <c r="G278" s="5" t="s">
        <v>18</v>
      </c>
      <c r="H278" s="6" t="s">
        <v>203</v>
      </c>
      <c r="I278" s="6">
        <v>2023</v>
      </c>
      <c r="J278" s="6" t="s">
        <v>180</v>
      </c>
      <c r="K278" s="6">
        <v>2</v>
      </c>
      <c r="L278" s="46">
        <v>3198.73</v>
      </c>
    </row>
    <row r="279" spans="1:12" x14ac:dyDescent="0.25">
      <c r="A279" s="5" t="s">
        <v>267</v>
      </c>
      <c r="B279" s="17">
        <v>10110</v>
      </c>
      <c r="C279" s="17" t="s">
        <v>5</v>
      </c>
      <c r="D279" s="17">
        <v>1</v>
      </c>
      <c r="E279" s="17" t="s">
        <v>3</v>
      </c>
      <c r="F279" s="17">
        <v>12</v>
      </c>
      <c r="G279" s="16" t="s">
        <v>8</v>
      </c>
      <c r="H279" s="17" t="s">
        <v>206</v>
      </c>
      <c r="I279" s="17">
        <v>2023</v>
      </c>
      <c r="J279" s="17" t="s">
        <v>180</v>
      </c>
      <c r="K279" s="17">
        <v>2</v>
      </c>
      <c r="L279" s="47">
        <v>1456.99</v>
      </c>
    </row>
    <row r="280" spans="1:12" x14ac:dyDescent="0.25">
      <c r="A280" s="5" t="s">
        <v>267</v>
      </c>
      <c r="B280" s="6">
        <v>10110</v>
      </c>
      <c r="C280" s="6" t="s">
        <v>20</v>
      </c>
      <c r="D280" s="6">
        <v>2</v>
      </c>
      <c r="E280" s="6" t="s">
        <v>4</v>
      </c>
      <c r="F280" s="6">
        <v>21</v>
      </c>
      <c r="G280" s="5" t="s">
        <v>13</v>
      </c>
      <c r="H280" s="6" t="s">
        <v>204</v>
      </c>
      <c r="I280" s="6">
        <v>2023</v>
      </c>
      <c r="J280" s="6" t="s">
        <v>180</v>
      </c>
      <c r="K280" s="6">
        <v>2</v>
      </c>
      <c r="L280" s="46">
        <v>801780.46</v>
      </c>
    </row>
    <row r="281" spans="1:12" x14ac:dyDescent="0.25">
      <c r="A281" s="5" t="s">
        <v>267</v>
      </c>
      <c r="B281" s="17">
        <v>10110</v>
      </c>
      <c r="C281" s="17" t="s">
        <v>20</v>
      </c>
      <c r="D281" s="17">
        <v>2</v>
      </c>
      <c r="E281" s="17" t="s">
        <v>4</v>
      </c>
      <c r="F281" s="17">
        <v>21</v>
      </c>
      <c r="G281" s="16" t="s">
        <v>14</v>
      </c>
      <c r="H281" s="17" t="s">
        <v>207</v>
      </c>
      <c r="I281" s="17">
        <v>2023</v>
      </c>
      <c r="J281" s="17" t="s">
        <v>180</v>
      </c>
      <c r="K281" s="17">
        <v>2</v>
      </c>
      <c r="L281" s="47">
        <v>0</v>
      </c>
    </row>
    <row r="282" spans="1:12" x14ac:dyDescent="0.25">
      <c r="A282" s="5" t="s">
        <v>268</v>
      </c>
      <c r="B282" s="6">
        <v>10112</v>
      </c>
      <c r="C282" s="6" t="s">
        <v>20</v>
      </c>
      <c r="D282" s="6">
        <v>2</v>
      </c>
      <c r="E282" s="6" t="s">
        <v>4</v>
      </c>
      <c r="F282" s="6">
        <v>21</v>
      </c>
      <c r="G282" s="5" t="s">
        <v>13</v>
      </c>
      <c r="H282" s="6">
        <v>211</v>
      </c>
      <c r="I282" s="6">
        <v>2022</v>
      </c>
      <c r="J282" s="6" t="s">
        <v>179</v>
      </c>
      <c r="K282" s="6">
        <v>1</v>
      </c>
      <c r="L282" s="50">
        <v>222332.03</v>
      </c>
    </row>
    <row r="283" spans="1:12" x14ac:dyDescent="0.25">
      <c r="A283" s="5" t="s">
        <v>268</v>
      </c>
      <c r="B283" s="6">
        <v>10100</v>
      </c>
      <c r="C283" s="6" t="s">
        <v>5</v>
      </c>
      <c r="D283" s="6">
        <v>1</v>
      </c>
      <c r="E283" s="6" t="s">
        <v>1</v>
      </c>
      <c r="F283" s="6">
        <v>11</v>
      </c>
      <c r="G283" s="5" t="s">
        <v>6</v>
      </c>
      <c r="H283" s="6" t="s">
        <v>199</v>
      </c>
      <c r="I283" s="6">
        <v>2022</v>
      </c>
      <c r="J283" s="6" t="s">
        <v>180</v>
      </c>
      <c r="K283" s="6">
        <v>2</v>
      </c>
      <c r="L283" s="50">
        <v>225706.22</v>
      </c>
    </row>
    <row r="284" spans="1:12" x14ac:dyDescent="0.25">
      <c r="A284" s="5" t="s">
        <v>268</v>
      </c>
      <c r="B284" s="17">
        <v>10100</v>
      </c>
      <c r="C284" s="17" t="s">
        <v>5</v>
      </c>
      <c r="D284" s="17">
        <v>1</v>
      </c>
      <c r="E284" s="17" t="s">
        <v>1</v>
      </c>
      <c r="F284" s="17">
        <v>11</v>
      </c>
      <c r="G284" s="16" t="s">
        <v>9</v>
      </c>
      <c r="H284" s="17" t="s">
        <v>200</v>
      </c>
      <c r="I284" s="17">
        <v>2022</v>
      </c>
      <c r="J284" s="17" t="s">
        <v>180</v>
      </c>
      <c r="K284" s="17">
        <v>2</v>
      </c>
      <c r="L284" s="17">
        <v>9919.73</v>
      </c>
    </row>
    <row r="285" spans="1:12" x14ac:dyDescent="0.25">
      <c r="A285" s="5" t="s">
        <v>268</v>
      </c>
      <c r="B285" s="6">
        <v>10100</v>
      </c>
      <c r="C285" s="6" t="s">
        <v>5</v>
      </c>
      <c r="D285" s="6">
        <v>1</v>
      </c>
      <c r="E285" s="6" t="s">
        <v>1</v>
      </c>
      <c r="F285" s="6">
        <v>11</v>
      </c>
      <c r="G285" s="5" t="s">
        <v>7</v>
      </c>
      <c r="H285" s="6" t="s">
        <v>201</v>
      </c>
      <c r="I285" s="6">
        <v>2022</v>
      </c>
      <c r="J285" s="6" t="s">
        <v>180</v>
      </c>
      <c r="K285" s="6">
        <v>2</v>
      </c>
      <c r="L285" s="46">
        <v>17952.18</v>
      </c>
    </row>
    <row r="286" spans="1:12" x14ac:dyDescent="0.25">
      <c r="A286" s="5" t="s">
        <v>268</v>
      </c>
      <c r="B286" s="17">
        <v>10100</v>
      </c>
      <c r="C286" s="17" t="s">
        <v>5</v>
      </c>
      <c r="D286" s="17">
        <v>1</v>
      </c>
      <c r="E286" s="17" t="s">
        <v>1</v>
      </c>
      <c r="F286" s="17">
        <v>11</v>
      </c>
      <c r="G286" s="16" t="s">
        <v>10</v>
      </c>
      <c r="H286" s="17" t="s">
        <v>199</v>
      </c>
      <c r="I286" s="17">
        <v>2022</v>
      </c>
      <c r="J286" s="17" t="s">
        <v>180</v>
      </c>
      <c r="K286" s="17">
        <v>2</v>
      </c>
      <c r="L286" s="47">
        <v>13018.75</v>
      </c>
    </row>
    <row r="287" spans="1:12" x14ac:dyDescent="0.25">
      <c r="A287" s="5" t="s">
        <v>268</v>
      </c>
      <c r="B287" s="6">
        <v>10100</v>
      </c>
      <c r="C287" s="6" t="s">
        <v>5</v>
      </c>
      <c r="D287" s="6">
        <v>1</v>
      </c>
      <c r="E287" s="6" t="s">
        <v>1</v>
      </c>
      <c r="F287" s="6">
        <v>11</v>
      </c>
      <c r="G287" s="5" t="s">
        <v>11</v>
      </c>
      <c r="H287" s="6" t="s">
        <v>202</v>
      </c>
      <c r="I287" s="6">
        <v>2022</v>
      </c>
      <c r="J287" s="6" t="s">
        <v>180</v>
      </c>
      <c r="K287" s="6">
        <v>2</v>
      </c>
      <c r="L287" s="46">
        <v>29343</v>
      </c>
    </row>
    <row r="288" spans="1:12" x14ac:dyDescent="0.25">
      <c r="A288" s="5" t="s">
        <v>268</v>
      </c>
      <c r="B288" s="17">
        <v>10100</v>
      </c>
      <c r="C288" s="17" t="s">
        <v>5</v>
      </c>
      <c r="D288" s="17">
        <v>1</v>
      </c>
      <c r="E288" s="17" t="s">
        <v>1</v>
      </c>
      <c r="F288" s="17">
        <v>11</v>
      </c>
      <c r="G288" s="16" t="s">
        <v>12</v>
      </c>
      <c r="H288" s="17" t="s">
        <v>205</v>
      </c>
      <c r="I288" s="17">
        <v>2022</v>
      </c>
      <c r="J288" s="17" t="s">
        <v>180</v>
      </c>
      <c r="K288" s="17">
        <v>2</v>
      </c>
      <c r="L288" s="47">
        <v>24502.03</v>
      </c>
    </row>
    <row r="289" spans="1:12" x14ac:dyDescent="0.25">
      <c r="A289" s="5" t="s">
        <v>268</v>
      </c>
      <c r="B289" s="6">
        <v>10100</v>
      </c>
      <c r="C289" s="6" t="s">
        <v>5</v>
      </c>
      <c r="D289" s="6">
        <v>1</v>
      </c>
      <c r="E289" s="6" t="s">
        <v>1</v>
      </c>
      <c r="F289" s="6">
        <v>11</v>
      </c>
      <c r="G289" s="5" t="s">
        <v>18</v>
      </c>
      <c r="H289" s="6" t="s">
        <v>203</v>
      </c>
      <c r="I289" s="6">
        <v>2022</v>
      </c>
      <c r="J289" s="6" t="s">
        <v>180</v>
      </c>
      <c r="K289" s="6">
        <v>2</v>
      </c>
      <c r="L289" s="46">
        <v>5537.17</v>
      </c>
    </row>
    <row r="290" spans="1:12" x14ac:dyDescent="0.25">
      <c r="A290" s="5" t="s">
        <v>268</v>
      </c>
      <c r="B290" s="17">
        <v>10100</v>
      </c>
      <c r="C290" s="17" t="s">
        <v>5</v>
      </c>
      <c r="D290" s="17">
        <v>1</v>
      </c>
      <c r="E290" s="17" t="s">
        <v>3</v>
      </c>
      <c r="F290" s="17">
        <v>12</v>
      </c>
      <c r="G290" s="16" t="s">
        <v>8</v>
      </c>
      <c r="H290" s="17" t="s">
        <v>206</v>
      </c>
      <c r="I290" s="17">
        <v>2022</v>
      </c>
      <c r="J290" s="17" t="s">
        <v>180</v>
      </c>
      <c r="K290" s="17">
        <v>2</v>
      </c>
      <c r="L290" s="47">
        <v>3870.77</v>
      </c>
    </row>
    <row r="291" spans="1:12" x14ac:dyDescent="0.25">
      <c r="A291" s="5" t="s">
        <v>268</v>
      </c>
      <c r="B291" s="6">
        <v>10100</v>
      </c>
      <c r="C291" s="6" t="s">
        <v>20</v>
      </c>
      <c r="D291" s="6">
        <v>2</v>
      </c>
      <c r="E291" s="6" t="s">
        <v>4</v>
      </c>
      <c r="F291" s="6">
        <v>21</v>
      </c>
      <c r="G291" s="5" t="s">
        <v>13</v>
      </c>
      <c r="H291" s="6" t="s">
        <v>204</v>
      </c>
      <c r="I291" s="6">
        <v>2022</v>
      </c>
      <c r="J291" s="6" t="s">
        <v>180</v>
      </c>
      <c r="K291" s="6">
        <v>2</v>
      </c>
      <c r="L291" s="46">
        <v>502288.64000000001</v>
      </c>
    </row>
    <row r="292" spans="1:12" x14ac:dyDescent="0.25">
      <c r="A292" s="5" t="s">
        <v>268</v>
      </c>
      <c r="B292" s="17">
        <v>10100</v>
      </c>
      <c r="C292" s="17" t="s">
        <v>20</v>
      </c>
      <c r="D292" s="17">
        <v>2</v>
      </c>
      <c r="E292" s="17" t="s">
        <v>4</v>
      </c>
      <c r="F292" s="17">
        <v>21</v>
      </c>
      <c r="G292" s="16" t="s">
        <v>14</v>
      </c>
      <c r="H292" s="17" t="s">
        <v>207</v>
      </c>
      <c r="I292" s="17">
        <v>2022</v>
      </c>
      <c r="J292" s="17" t="s">
        <v>180</v>
      </c>
      <c r="K292" s="17">
        <v>2</v>
      </c>
      <c r="L292" s="47">
        <v>37592.99</v>
      </c>
    </row>
    <row r="293" spans="1:12" x14ac:dyDescent="0.25">
      <c r="A293" s="5" t="s">
        <v>268</v>
      </c>
      <c r="B293" s="6">
        <v>10100</v>
      </c>
      <c r="C293" s="6" t="s">
        <v>5</v>
      </c>
      <c r="D293" s="6">
        <v>1</v>
      </c>
      <c r="E293" s="6" t="s">
        <v>1</v>
      </c>
      <c r="F293" s="6">
        <v>11</v>
      </c>
      <c r="G293" s="5" t="s">
        <v>6</v>
      </c>
      <c r="H293" s="6" t="s">
        <v>199</v>
      </c>
      <c r="I293" s="6">
        <v>2022</v>
      </c>
      <c r="J293" s="6" t="s">
        <v>181</v>
      </c>
      <c r="K293" s="6">
        <v>3</v>
      </c>
      <c r="L293" s="46">
        <v>215931.22</v>
      </c>
    </row>
    <row r="294" spans="1:12" x14ac:dyDescent="0.25">
      <c r="A294" s="5" t="s">
        <v>268</v>
      </c>
      <c r="B294" s="17">
        <v>10100</v>
      </c>
      <c r="C294" s="17" t="s">
        <v>5</v>
      </c>
      <c r="D294" s="17">
        <v>1</v>
      </c>
      <c r="E294" s="17" t="s">
        <v>1</v>
      </c>
      <c r="F294" s="17">
        <v>11</v>
      </c>
      <c r="G294" s="16" t="s">
        <v>9</v>
      </c>
      <c r="H294" s="17" t="s">
        <v>200</v>
      </c>
      <c r="I294" s="17">
        <v>2022</v>
      </c>
      <c r="J294" s="17" t="s">
        <v>181</v>
      </c>
      <c r="K294" s="17">
        <v>3</v>
      </c>
      <c r="L294" s="47">
        <v>5032.2299999999996</v>
      </c>
    </row>
    <row r="295" spans="1:12" x14ac:dyDescent="0.25">
      <c r="A295" s="5" t="s">
        <v>268</v>
      </c>
      <c r="B295" s="6">
        <v>10100</v>
      </c>
      <c r="C295" s="6" t="s">
        <v>5</v>
      </c>
      <c r="D295" s="6">
        <v>1</v>
      </c>
      <c r="E295" s="6" t="s">
        <v>1</v>
      </c>
      <c r="F295" s="6">
        <v>11</v>
      </c>
      <c r="G295" s="5" t="s">
        <v>7</v>
      </c>
      <c r="H295" s="6" t="s">
        <v>201</v>
      </c>
      <c r="I295" s="6">
        <v>2022</v>
      </c>
      <c r="J295" s="6" t="s">
        <v>181</v>
      </c>
      <c r="K295" s="6">
        <v>3</v>
      </c>
      <c r="L295" s="46">
        <v>6222.18</v>
      </c>
    </row>
    <row r="296" spans="1:12" x14ac:dyDescent="0.25">
      <c r="A296" s="5" t="s">
        <v>268</v>
      </c>
      <c r="B296" s="17">
        <v>10100</v>
      </c>
      <c r="C296" s="17" t="s">
        <v>5</v>
      </c>
      <c r="D296" s="17">
        <v>1</v>
      </c>
      <c r="E296" s="17" t="s">
        <v>1</v>
      </c>
      <c r="F296" s="17">
        <v>11</v>
      </c>
      <c r="G296" s="16" t="s">
        <v>10</v>
      </c>
      <c r="H296" s="17" t="s">
        <v>199</v>
      </c>
      <c r="I296" s="17">
        <v>2022</v>
      </c>
      <c r="J296" s="17" t="s">
        <v>181</v>
      </c>
      <c r="K296" s="17">
        <v>3</v>
      </c>
      <c r="L296" s="47">
        <v>2266.25</v>
      </c>
    </row>
    <row r="297" spans="1:12" x14ac:dyDescent="0.25">
      <c r="A297" s="5" t="s">
        <v>268</v>
      </c>
      <c r="B297" s="6">
        <v>10100</v>
      </c>
      <c r="C297" s="6" t="s">
        <v>5</v>
      </c>
      <c r="D297" s="6">
        <v>1</v>
      </c>
      <c r="E297" s="6" t="s">
        <v>1</v>
      </c>
      <c r="F297" s="6">
        <v>11</v>
      </c>
      <c r="G297" s="5" t="s">
        <v>11</v>
      </c>
      <c r="H297" s="6" t="s">
        <v>202</v>
      </c>
      <c r="I297" s="6">
        <v>2022</v>
      </c>
      <c r="J297" s="6" t="s">
        <v>181</v>
      </c>
      <c r="K297" s="6">
        <v>3</v>
      </c>
      <c r="L297" s="50">
        <v>6860.5</v>
      </c>
    </row>
    <row r="298" spans="1:12" x14ac:dyDescent="0.25">
      <c r="A298" s="5" t="s">
        <v>268</v>
      </c>
      <c r="B298" s="17">
        <v>10100</v>
      </c>
      <c r="C298" s="17" t="s">
        <v>5</v>
      </c>
      <c r="D298" s="17">
        <v>1</v>
      </c>
      <c r="E298" s="17" t="s">
        <v>1</v>
      </c>
      <c r="F298" s="17">
        <v>11</v>
      </c>
      <c r="G298" s="16" t="s">
        <v>18</v>
      </c>
      <c r="H298" s="17" t="s">
        <v>203</v>
      </c>
      <c r="I298" s="17">
        <v>2022</v>
      </c>
      <c r="J298" s="17" t="s">
        <v>181</v>
      </c>
      <c r="K298" s="17">
        <v>3</v>
      </c>
      <c r="L298" s="17">
        <v>649.66999999999996</v>
      </c>
    </row>
    <row r="299" spans="1:12" x14ac:dyDescent="0.25">
      <c r="A299" s="5" t="s">
        <v>268</v>
      </c>
      <c r="B299" s="6">
        <v>10100</v>
      </c>
      <c r="C299" s="6" t="s">
        <v>20</v>
      </c>
      <c r="D299" s="6">
        <v>2</v>
      </c>
      <c r="E299" s="6" t="s">
        <v>4</v>
      </c>
      <c r="F299" s="6">
        <v>21</v>
      </c>
      <c r="G299" s="5" t="s">
        <v>13</v>
      </c>
      <c r="H299" s="6" t="s">
        <v>204</v>
      </c>
      <c r="I299" s="6">
        <v>2022</v>
      </c>
      <c r="J299" s="6" t="s">
        <v>181</v>
      </c>
      <c r="K299" s="6">
        <v>3</v>
      </c>
      <c r="L299" s="46">
        <v>559788.64</v>
      </c>
    </row>
    <row r="300" spans="1:12" x14ac:dyDescent="0.25">
      <c r="A300" s="5" t="s">
        <v>268</v>
      </c>
      <c r="B300" s="17">
        <v>10100</v>
      </c>
      <c r="C300" s="17" t="s">
        <v>5</v>
      </c>
      <c r="D300" s="17">
        <v>1</v>
      </c>
      <c r="E300" s="17" t="s">
        <v>1</v>
      </c>
      <c r="F300" s="17">
        <v>11</v>
      </c>
      <c r="G300" s="16" t="s">
        <v>6</v>
      </c>
      <c r="H300" s="17" t="s">
        <v>199</v>
      </c>
      <c r="I300" s="17">
        <v>2022</v>
      </c>
      <c r="J300" s="17" t="s">
        <v>181</v>
      </c>
      <c r="K300" s="17">
        <v>3</v>
      </c>
      <c r="L300" s="47">
        <v>225706.22</v>
      </c>
    </row>
    <row r="301" spans="1:12" x14ac:dyDescent="0.25">
      <c r="A301" s="5" t="s">
        <v>268</v>
      </c>
      <c r="B301" s="6">
        <v>10100</v>
      </c>
      <c r="C301" s="6" t="s">
        <v>5</v>
      </c>
      <c r="D301" s="6">
        <v>1</v>
      </c>
      <c r="E301" s="6" t="s">
        <v>1</v>
      </c>
      <c r="F301" s="6">
        <v>11</v>
      </c>
      <c r="G301" s="5" t="s">
        <v>9</v>
      </c>
      <c r="H301" s="6" t="s">
        <v>200</v>
      </c>
      <c r="I301" s="6">
        <v>2022</v>
      </c>
      <c r="J301" s="6" t="s">
        <v>181</v>
      </c>
      <c r="K301" s="6">
        <v>3</v>
      </c>
      <c r="L301" s="46">
        <v>12073.13</v>
      </c>
    </row>
    <row r="302" spans="1:12" x14ac:dyDescent="0.25">
      <c r="A302" s="5" t="s">
        <v>268</v>
      </c>
      <c r="B302" s="17">
        <v>10100</v>
      </c>
      <c r="C302" s="17" t="s">
        <v>5</v>
      </c>
      <c r="D302" s="17">
        <v>1</v>
      </c>
      <c r="E302" s="17" t="s">
        <v>1</v>
      </c>
      <c r="F302" s="17">
        <v>11</v>
      </c>
      <c r="G302" s="16" t="s">
        <v>7</v>
      </c>
      <c r="H302" s="17" t="s">
        <v>201</v>
      </c>
      <c r="I302" s="17">
        <v>2022</v>
      </c>
      <c r="J302" s="17" t="s">
        <v>181</v>
      </c>
      <c r="K302" s="17">
        <v>3</v>
      </c>
      <c r="L302" s="47">
        <v>18311.23</v>
      </c>
    </row>
    <row r="303" spans="1:12" x14ac:dyDescent="0.25">
      <c r="A303" s="5" t="s">
        <v>268</v>
      </c>
      <c r="B303" s="6">
        <v>10100</v>
      </c>
      <c r="C303" s="6" t="s">
        <v>5</v>
      </c>
      <c r="D303" s="6">
        <v>1</v>
      </c>
      <c r="E303" s="6" t="s">
        <v>1</v>
      </c>
      <c r="F303" s="6">
        <v>11</v>
      </c>
      <c r="G303" s="5" t="s">
        <v>10</v>
      </c>
      <c r="H303" s="6" t="s">
        <v>199</v>
      </c>
      <c r="I303" s="6">
        <v>2022</v>
      </c>
      <c r="J303" s="6" t="s">
        <v>181</v>
      </c>
      <c r="K303" s="6">
        <v>3</v>
      </c>
      <c r="L303" s="46">
        <v>13279.12</v>
      </c>
    </row>
    <row r="304" spans="1:12" x14ac:dyDescent="0.25">
      <c r="A304" s="5" t="s">
        <v>268</v>
      </c>
      <c r="B304" s="17">
        <v>10100</v>
      </c>
      <c r="C304" s="17" t="s">
        <v>5</v>
      </c>
      <c r="D304" s="17">
        <v>1</v>
      </c>
      <c r="E304" s="17" t="s">
        <v>1</v>
      </c>
      <c r="F304" s="17">
        <v>11</v>
      </c>
      <c r="G304" s="16" t="s">
        <v>11</v>
      </c>
      <c r="H304" s="17" t="s">
        <v>202</v>
      </c>
      <c r="I304" s="17">
        <v>2022</v>
      </c>
      <c r="J304" s="17" t="s">
        <v>181</v>
      </c>
      <c r="K304" s="17">
        <v>3</v>
      </c>
      <c r="L304" s="47">
        <v>31884.85</v>
      </c>
    </row>
    <row r="305" spans="1:12" x14ac:dyDescent="0.25">
      <c r="A305" s="5" t="s">
        <v>268</v>
      </c>
      <c r="B305" s="6">
        <v>10100</v>
      </c>
      <c r="C305" s="6" t="s">
        <v>5</v>
      </c>
      <c r="D305" s="6">
        <v>1</v>
      </c>
      <c r="E305" s="6" t="s">
        <v>1</v>
      </c>
      <c r="F305" s="6">
        <v>11</v>
      </c>
      <c r="G305" s="5" t="s">
        <v>12</v>
      </c>
      <c r="H305" s="6" t="s">
        <v>205</v>
      </c>
      <c r="I305" s="6">
        <v>2022</v>
      </c>
      <c r="J305" s="6" t="s">
        <v>181</v>
      </c>
      <c r="K305" s="6">
        <v>3</v>
      </c>
      <c r="L305" s="46">
        <v>24992.080000000002</v>
      </c>
    </row>
    <row r="306" spans="1:12" x14ac:dyDescent="0.25">
      <c r="A306" s="5" t="s">
        <v>268</v>
      </c>
      <c r="B306" s="17">
        <v>10100</v>
      </c>
      <c r="C306" s="17" t="s">
        <v>5</v>
      </c>
      <c r="D306" s="17">
        <v>1</v>
      </c>
      <c r="E306" s="17" t="s">
        <v>1</v>
      </c>
      <c r="F306" s="17">
        <v>11</v>
      </c>
      <c r="G306" s="16" t="s">
        <v>18</v>
      </c>
      <c r="H306" s="17" t="s">
        <v>203</v>
      </c>
      <c r="I306" s="17">
        <v>2022</v>
      </c>
      <c r="J306" s="17" t="s">
        <v>181</v>
      </c>
      <c r="K306" s="17">
        <v>3</v>
      </c>
      <c r="L306" s="47">
        <v>5647.91</v>
      </c>
    </row>
    <row r="307" spans="1:12" x14ac:dyDescent="0.25">
      <c r="A307" s="5" t="s">
        <v>268</v>
      </c>
      <c r="B307" s="6">
        <v>10100</v>
      </c>
      <c r="C307" s="6" t="s">
        <v>5</v>
      </c>
      <c r="D307" s="6">
        <v>1</v>
      </c>
      <c r="E307" s="6" t="s">
        <v>3</v>
      </c>
      <c r="F307" s="6">
        <v>12</v>
      </c>
      <c r="G307" s="5" t="s">
        <v>8</v>
      </c>
      <c r="H307" s="6" t="s">
        <v>206</v>
      </c>
      <c r="I307" s="6">
        <v>2022</v>
      </c>
      <c r="J307" s="6" t="s">
        <v>181</v>
      </c>
      <c r="K307" s="6">
        <v>3</v>
      </c>
      <c r="L307" s="50">
        <v>3948.19</v>
      </c>
    </row>
    <row r="308" spans="1:12" x14ac:dyDescent="0.25">
      <c r="A308" s="5" t="s">
        <v>268</v>
      </c>
      <c r="B308" s="17">
        <v>10100</v>
      </c>
      <c r="C308" s="17" t="s">
        <v>20</v>
      </c>
      <c r="D308" s="17">
        <v>2</v>
      </c>
      <c r="E308" s="17" t="s">
        <v>4</v>
      </c>
      <c r="F308" s="17">
        <v>21</v>
      </c>
      <c r="G308" s="16" t="s">
        <v>14</v>
      </c>
      <c r="H308" s="17" t="s">
        <v>207</v>
      </c>
      <c r="I308" s="17">
        <v>2022</v>
      </c>
      <c r="J308" s="17" t="s">
        <v>181</v>
      </c>
      <c r="K308" s="17">
        <v>3</v>
      </c>
      <c r="L308" s="47">
        <v>29542.99</v>
      </c>
    </row>
    <row r="309" spans="1:12" x14ac:dyDescent="0.25">
      <c r="A309" s="5" t="s">
        <v>268</v>
      </c>
      <c r="B309" s="6">
        <v>10100</v>
      </c>
      <c r="C309" s="6" t="s">
        <v>5</v>
      </c>
      <c r="D309" s="6">
        <v>1</v>
      </c>
      <c r="E309" s="6" t="s">
        <v>1</v>
      </c>
      <c r="F309" s="6">
        <v>11</v>
      </c>
      <c r="G309" s="5" t="s">
        <v>6</v>
      </c>
      <c r="H309" s="6" t="s">
        <v>199</v>
      </c>
      <c r="I309" s="6">
        <v>2022</v>
      </c>
      <c r="J309" s="6" t="s">
        <v>208</v>
      </c>
      <c r="K309" s="6">
        <v>4</v>
      </c>
      <c r="L309" s="46">
        <v>226727.78</v>
      </c>
    </row>
    <row r="310" spans="1:12" x14ac:dyDescent="0.25">
      <c r="A310" s="5" t="s">
        <v>268</v>
      </c>
      <c r="B310" s="17">
        <v>10100</v>
      </c>
      <c r="C310" s="17" t="s">
        <v>5</v>
      </c>
      <c r="D310" s="17">
        <v>1</v>
      </c>
      <c r="E310" s="17" t="s">
        <v>1</v>
      </c>
      <c r="F310" s="17">
        <v>11</v>
      </c>
      <c r="G310" s="16" t="s">
        <v>9</v>
      </c>
      <c r="H310" s="17" t="s">
        <v>200</v>
      </c>
      <c r="I310" s="17">
        <v>2022</v>
      </c>
      <c r="J310" s="17" t="s">
        <v>208</v>
      </c>
      <c r="K310" s="17">
        <v>4</v>
      </c>
      <c r="L310" s="47">
        <v>5283.84</v>
      </c>
    </row>
    <row r="311" spans="1:12" x14ac:dyDescent="0.25">
      <c r="A311" s="5" t="s">
        <v>268</v>
      </c>
      <c r="B311" s="6">
        <v>10100</v>
      </c>
      <c r="C311" s="6" t="s">
        <v>5</v>
      </c>
      <c r="D311" s="6">
        <v>1</v>
      </c>
      <c r="E311" s="6" t="s">
        <v>1</v>
      </c>
      <c r="F311" s="6">
        <v>11</v>
      </c>
      <c r="G311" s="5" t="s">
        <v>7</v>
      </c>
      <c r="H311" s="6" t="s">
        <v>201</v>
      </c>
      <c r="I311" s="6">
        <v>2022</v>
      </c>
      <c r="J311" s="6" t="s">
        <v>208</v>
      </c>
      <c r="K311" s="6">
        <v>4</v>
      </c>
      <c r="L311" s="50">
        <v>6533.29</v>
      </c>
    </row>
    <row r="312" spans="1:12" x14ac:dyDescent="0.25">
      <c r="A312" s="5" t="s">
        <v>268</v>
      </c>
      <c r="B312" s="17">
        <v>10100</v>
      </c>
      <c r="C312" s="17" t="s">
        <v>5</v>
      </c>
      <c r="D312" s="17">
        <v>1</v>
      </c>
      <c r="E312" s="17" t="s">
        <v>1</v>
      </c>
      <c r="F312" s="17">
        <v>11</v>
      </c>
      <c r="G312" s="16" t="s">
        <v>10</v>
      </c>
      <c r="H312" s="17" t="s">
        <v>199</v>
      </c>
      <c r="I312" s="17">
        <v>2022</v>
      </c>
      <c r="J312" s="17" t="s">
        <v>208</v>
      </c>
      <c r="K312" s="17">
        <v>4</v>
      </c>
      <c r="L312" s="17">
        <v>2379.56</v>
      </c>
    </row>
    <row r="313" spans="1:12" x14ac:dyDescent="0.25">
      <c r="A313" s="5" t="s">
        <v>268</v>
      </c>
      <c r="B313" s="6">
        <v>10100</v>
      </c>
      <c r="C313" s="6" t="s">
        <v>5</v>
      </c>
      <c r="D313" s="6">
        <v>1</v>
      </c>
      <c r="E313" s="6" t="s">
        <v>1</v>
      </c>
      <c r="F313" s="6">
        <v>11</v>
      </c>
      <c r="G313" s="5" t="s">
        <v>11</v>
      </c>
      <c r="H313" s="6" t="s">
        <v>202</v>
      </c>
      <c r="I313" s="6">
        <v>2022</v>
      </c>
      <c r="J313" s="6" t="s">
        <v>208</v>
      </c>
      <c r="K313" s="6">
        <v>4</v>
      </c>
      <c r="L313" s="46">
        <v>7203.52</v>
      </c>
    </row>
    <row r="314" spans="1:12" x14ac:dyDescent="0.25">
      <c r="A314" s="5" t="s">
        <v>268</v>
      </c>
      <c r="B314" s="17">
        <v>10100</v>
      </c>
      <c r="C314" s="17" t="s">
        <v>5</v>
      </c>
      <c r="D314" s="17">
        <v>1</v>
      </c>
      <c r="E314" s="17" t="s">
        <v>1</v>
      </c>
      <c r="F314" s="17">
        <v>11</v>
      </c>
      <c r="G314" s="16" t="s">
        <v>18</v>
      </c>
      <c r="H314" s="17" t="s">
        <v>203</v>
      </c>
      <c r="I314" s="17">
        <v>2022</v>
      </c>
      <c r="J314" s="17" t="s">
        <v>208</v>
      </c>
      <c r="K314" s="17">
        <v>4</v>
      </c>
      <c r="L314" s="47">
        <v>682.16</v>
      </c>
    </row>
    <row r="315" spans="1:12" x14ac:dyDescent="0.25">
      <c r="A315" s="5" t="s">
        <v>268</v>
      </c>
      <c r="B315" s="6">
        <v>10100</v>
      </c>
      <c r="C315" s="6" t="s">
        <v>20</v>
      </c>
      <c r="D315" s="6">
        <v>2</v>
      </c>
      <c r="E315" s="6" t="s">
        <v>4</v>
      </c>
      <c r="F315" s="6">
        <v>21</v>
      </c>
      <c r="G315" s="5" t="s">
        <v>13</v>
      </c>
      <c r="H315" s="6" t="s">
        <v>204</v>
      </c>
      <c r="I315" s="6">
        <v>2022</v>
      </c>
      <c r="J315" s="6" t="s">
        <v>208</v>
      </c>
      <c r="K315" s="6">
        <v>4</v>
      </c>
      <c r="L315" s="46">
        <v>541683.24</v>
      </c>
    </row>
    <row r="316" spans="1:12" x14ac:dyDescent="0.25">
      <c r="A316" s="5" t="s">
        <v>268</v>
      </c>
      <c r="B316" s="17">
        <v>10100</v>
      </c>
      <c r="C316" s="17" t="s">
        <v>5</v>
      </c>
      <c r="D316" s="17">
        <v>1</v>
      </c>
      <c r="E316" s="17" t="s">
        <v>1</v>
      </c>
      <c r="F316" s="17">
        <v>11</v>
      </c>
      <c r="G316" s="16" t="s">
        <v>6</v>
      </c>
      <c r="H316" s="17" t="s">
        <v>199</v>
      </c>
      <c r="I316" s="17">
        <v>2022</v>
      </c>
      <c r="J316" s="17" t="s">
        <v>208</v>
      </c>
      <c r="K316" s="17">
        <v>4</v>
      </c>
      <c r="L316" s="47">
        <v>236991.53</v>
      </c>
    </row>
    <row r="317" spans="1:12" x14ac:dyDescent="0.25">
      <c r="A317" s="5" t="s">
        <v>268</v>
      </c>
      <c r="B317" s="6">
        <v>10100</v>
      </c>
      <c r="C317" s="6" t="s">
        <v>5</v>
      </c>
      <c r="D317" s="6">
        <v>1</v>
      </c>
      <c r="E317" s="6" t="s">
        <v>1</v>
      </c>
      <c r="F317" s="6">
        <v>11</v>
      </c>
      <c r="G317" s="5" t="s">
        <v>9</v>
      </c>
      <c r="H317" s="6" t="s">
        <v>200</v>
      </c>
      <c r="I317" s="6">
        <v>2022</v>
      </c>
      <c r="J317" s="6" t="s">
        <v>208</v>
      </c>
      <c r="K317" s="6">
        <v>4</v>
      </c>
      <c r="L317" s="46">
        <v>12676.78</v>
      </c>
    </row>
    <row r="318" spans="1:12" x14ac:dyDescent="0.25">
      <c r="A318" s="5" t="s">
        <v>268</v>
      </c>
      <c r="B318" s="17">
        <v>10100</v>
      </c>
      <c r="C318" s="17" t="s">
        <v>5</v>
      </c>
      <c r="D318" s="17">
        <v>1</v>
      </c>
      <c r="E318" s="17" t="s">
        <v>1</v>
      </c>
      <c r="F318" s="17">
        <v>11</v>
      </c>
      <c r="G318" s="16" t="s">
        <v>7</v>
      </c>
      <c r="H318" s="17" t="s">
        <v>201</v>
      </c>
      <c r="I318" s="17">
        <v>2022</v>
      </c>
      <c r="J318" s="17" t="s">
        <v>208</v>
      </c>
      <c r="K318" s="17">
        <v>4</v>
      </c>
      <c r="L318" s="47">
        <v>19226.79</v>
      </c>
    </row>
    <row r="319" spans="1:12" x14ac:dyDescent="0.25">
      <c r="A319" s="5" t="s">
        <v>268</v>
      </c>
      <c r="B319" s="6">
        <v>10100</v>
      </c>
      <c r="C319" s="6" t="s">
        <v>5</v>
      </c>
      <c r="D319" s="6">
        <v>1</v>
      </c>
      <c r="E319" s="6" t="s">
        <v>1</v>
      </c>
      <c r="F319" s="6">
        <v>11</v>
      </c>
      <c r="G319" s="5" t="s">
        <v>10</v>
      </c>
      <c r="H319" s="6" t="s">
        <v>199</v>
      </c>
      <c r="I319" s="6">
        <v>2022</v>
      </c>
      <c r="J319" s="6" t="s">
        <v>208</v>
      </c>
      <c r="K319" s="6">
        <v>4</v>
      </c>
      <c r="L319" s="46">
        <v>13943.07</v>
      </c>
    </row>
    <row r="320" spans="1:12" x14ac:dyDescent="0.25">
      <c r="A320" s="5" t="s">
        <v>268</v>
      </c>
      <c r="B320" s="17">
        <v>10100</v>
      </c>
      <c r="C320" s="17" t="s">
        <v>5</v>
      </c>
      <c r="D320" s="17">
        <v>1</v>
      </c>
      <c r="E320" s="17" t="s">
        <v>1</v>
      </c>
      <c r="F320" s="17">
        <v>11</v>
      </c>
      <c r="G320" s="16" t="s">
        <v>11</v>
      </c>
      <c r="H320" s="17" t="s">
        <v>202</v>
      </c>
      <c r="I320" s="17">
        <v>2022</v>
      </c>
      <c r="J320" s="17" t="s">
        <v>208</v>
      </c>
      <c r="K320" s="17">
        <v>4</v>
      </c>
      <c r="L320" s="47">
        <v>33479.1</v>
      </c>
    </row>
    <row r="321" spans="1:12" x14ac:dyDescent="0.25">
      <c r="A321" s="5" t="s">
        <v>268</v>
      </c>
      <c r="B321" s="6">
        <v>10100</v>
      </c>
      <c r="C321" s="6" t="s">
        <v>5</v>
      </c>
      <c r="D321" s="6">
        <v>1</v>
      </c>
      <c r="E321" s="6" t="s">
        <v>1</v>
      </c>
      <c r="F321" s="6">
        <v>11</v>
      </c>
      <c r="G321" s="5" t="s">
        <v>12</v>
      </c>
      <c r="H321" s="6" t="s">
        <v>205</v>
      </c>
      <c r="I321" s="6">
        <v>2022</v>
      </c>
      <c r="J321" s="6" t="s">
        <v>208</v>
      </c>
      <c r="K321" s="6">
        <v>4</v>
      </c>
      <c r="L321" s="50">
        <v>26241.68</v>
      </c>
    </row>
    <row r="322" spans="1:12" x14ac:dyDescent="0.25">
      <c r="A322" s="5" t="s">
        <v>268</v>
      </c>
      <c r="B322" s="17">
        <v>10100</v>
      </c>
      <c r="C322" s="17" t="s">
        <v>5</v>
      </c>
      <c r="D322" s="17">
        <v>1</v>
      </c>
      <c r="E322" s="17" t="s">
        <v>1</v>
      </c>
      <c r="F322" s="17">
        <v>11</v>
      </c>
      <c r="G322" s="16" t="s">
        <v>18</v>
      </c>
      <c r="H322" s="17" t="s">
        <v>203</v>
      </c>
      <c r="I322" s="17">
        <v>2022</v>
      </c>
      <c r="J322" s="17" t="s">
        <v>208</v>
      </c>
      <c r="K322" s="17">
        <v>4</v>
      </c>
      <c r="L322" s="47">
        <v>5930.31</v>
      </c>
    </row>
    <row r="323" spans="1:12" x14ac:dyDescent="0.25">
      <c r="A323" s="5" t="s">
        <v>268</v>
      </c>
      <c r="B323" s="6">
        <v>10100</v>
      </c>
      <c r="C323" s="6" t="s">
        <v>5</v>
      </c>
      <c r="D323" s="6">
        <v>1</v>
      </c>
      <c r="E323" s="6" t="s">
        <v>3</v>
      </c>
      <c r="F323" s="6">
        <v>12</v>
      </c>
      <c r="G323" s="5" t="s">
        <v>8</v>
      </c>
      <c r="H323" s="6" t="s">
        <v>206</v>
      </c>
      <c r="I323" s="6">
        <v>2022</v>
      </c>
      <c r="J323" s="6" t="s">
        <v>208</v>
      </c>
      <c r="K323" s="6">
        <v>4</v>
      </c>
      <c r="L323" s="46">
        <v>4145.6000000000004</v>
      </c>
    </row>
    <row r="324" spans="1:12" x14ac:dyDescent="0.25">
      <c r="A324" s="5" t="s">
        <v>268</v>
      </c>
      <c r="B324" s="17">
        <v>10100</v>
      </c>
      <c r="C324" s="17" t="s">
        <v>20</v>
      </c>
      <c r="D324" s="17">
        <v>2</v>
      </c>
      <c r="E324" s="17" t="s">
        <v>4</v>
      </c>
      <c r="F324" s="17">
        <v>21</v>
      </c>
      <c r="G324" s="16" t="s">
        <v>14</v>
      </c>
      <c r="H324" s="17" t="s">
        <v>207</v>
      </c>
      <c r="I324" s="17">
        <v>2022</v>
      </c>
      <c r="J324" s="17" t="s">
        <v>208</v>
      </c>
      <c r="K324" s="17">
        <v>4</v>
      </c>
      <c r="L324" s="47">
        <v>31020.13</v>
      </c>
    </row>
    <row r="325" spans="1:12" x14ac:dyDescent="0.25">
      <c r="A325" s="5" t="s">
        <v>268</v>
      </c>
      <c r="B325" s="6">
        <v>10100</v>
      </c>
      <c r="C325" s="6" t="s">
        <v>5</v>
      </c>
      <c r="D325" s="6">
        <v>1</v>
      </c>
      <c r="E325" s="6" t="s">
        <v>1</v>
      </c>
      <c r="F325" s="6">
        <v>11</v>
      </c>
      <c r="G325" s="5" t="s">
        <v>6</v>
      </c>
      <c r="H325" s="6" t="s">
        <v>199</v>
      </c>
      <c r="I325" s="6">
        <v>2022</v>
      </c>
      <c r="J325" s="6" t="s">
        <v>212</v>
      </c>
      <c r="K325" s="6">
        <v>5</v>
      </c>
      <c r="L325" s="50">
        <v>228887.1</v>
      </c>
    </row>
    <row r="326" spans="1:12" x14ac:dyDescent="0.25">
      <c r="A326" s="5" t="s">
        <v>268</v>
      </c>
      <c r="B326" s="17">
        <v>10100</v>
      </c>
      <c r="C326" s="17" t="s">
        <v>5</v>
      </c>
      <c r="D326" s="17">
        <v>1</v>
      </c>
      <c r="E326" s="17" t="s">
        <v>1</v>
      </c>
      <c r="F326" s="17">
        <v>11</v>
      </c>
      <c r="G326" s="16" t="s">
        <v>9</v>
      </c>
      <c r="H326" s="17" t="s">
        <v>200</v>
      </c>
      <c r="I326" s="17">
        <v>2022</v>
      </c>
      <c r="J326" s="17" t="s">
        <v>212</v>
      </c>
      <c r="K326" s="17">
        <v>5</v>
      </c>
      <c r="L326" s="17">
        <v>5032.2299999999996</v>
      </c>
    </row>
    <row r="327" spans="1:12" x14ac:dyDescent="0.25">
      <c r="A327" s="5" t="s">
        <v>268</v>
      </c>
      <c r="B327" s="6">
        <v>10100</v>
      </c>
      <c r="C327" s="6" t="s">
        <v>5</v>
      </c>
      <c r="D327" s="6">
        <v>1</v>
      </c>
      <c r="E327" s="6" t="s">
        <v>1</v>
      </c>
      <c r="F327" s="6">
        <v>11</v>
      </c>
      <c r="G327" s="5" t="s">
        <v>7</v>
      </c>
      <c r="H327" s="6" t="s">
        <v>201</v>
      </c>
      <c r="I327" s="6">
        <v>2022</v>
      </c>
      <c r="J327" s="6" t="s">
        <v>212</v>
      </c>
      <c r="K327" s="6">
        <v>5</v>
      </c>
      <c r="L327" s="46">
        <v>6222.18</v>
      </c>
    </row>
    <row r="328" spans="1:12" x14ac:dyDescent="0.25">
      <c r="A328" s="5" t="s">
        <v>268</v>
      </c>
      <c r="B328" s="17">
        <v>10100</v>
      </c>
      <c r="C328" s="17" t="s">
        <v>5</v>
      </c>
      <c r="D328" s="17">
        <v>1</v>
      </c>
      <c r="E328" s="17" t="s">
        <v>1</v>
      </c>
      <c r="F328" s="17">
        <v>11</v>
      </c>
      <c r="G328" s="16" t="s">
        <v>10</v>
      </c>
      <c r="H328" s="17" t="s">
        <v>199</v>
      </c>
      <c r="I328" s="17">
        <v>2022</v>
      </c>
      <c r="J328" s="17" t="s">
        <v>212</v>
      </c>
      <c r="K328" s="17">
        <v>5</v>
      </c>
      <c r="L328" s="47">
        <v>2266.25</v>
      </c>
    </row>
    <row r="329" spans="1:12" x14ac:dyDescent="0.25">
      <c r="A329" s="5" t="s">
        <v>268</v>
      </c>
      <c r="B329" s="6">
        <v>10100</v>
      </c>
      <c r="C329" s="6" t="s">
        <v>5</v>
      </c>
      <c r="D329" s="6">
        <v>1</v>
      </c>
      <c r="E329" s="6" t="s">
        <v>1</v>
      </c>
      <c r="F329" s="6">
        <v>11</v>
      </c>
      <c r="G329" s="5" t="s">
        <v>11</v>
      </c>
      <c r="H329" s="6" t="s">
        <v>202</v>
      </c>
      <c r="I329" s="6">
        <v>2022</v>
      </c>
      <c r="J329" s="6" t="s">
        <v>212</v>
      </c>
      <c r="K329" s="6">
        <v>5</v>
      </c>
      <c r="L329" s="46">
        <v>6860.5</v>
      </c>
    </row>
    <row r="330" spans="1:12" x14ac:dyDescent="0.25">
      <c r="A330" s="5" t="s">
        <v>268</v>
      </c>
      <c r="B330" s="17">
        <v>10100</v>
      </c>
      <c r="C330" s="17" t="s">
        <v>5</v>
      </c>
      <c r="D330" s="17">
        <v>1</v>
      </c>
      <c r="E330" s="17" t="s">
        <v>1</v>
      </c>
      <c r="F330" s="17">
        <v>11</v>
      </c>
      <c r="G330" s="16" t="s">
        <v>18</v>
      </c>
      <c r="H330" s="17" t="s">
        <v>203</v>
      </c>
      <c r="I330" s="17">
        <v>2022</v>
      </c>
      <c r="J330" s="17" t="s">
        <v>212</v>
      </c>
      <c r="K330" s="17">
        <v>5</v>
      </c>
      <c r="L330" s="47">
        <v>649.66999999999996</v>
      </c>
    </row>
    <row r="331" spans="1:12" x14ac:dyDescent="0.25">
      <c r="A331" s="5" t="s">
        <v>268</v>
      </c>
      <c r="B331" s="6">
        <v>10100</v>
      </c>
      <c r="C331" s="6" t="s">
        <v>20</v>
      </c>
      <c r="D331" s="6">
        <v>2</v>
      </c>
      <c r="E331" s="6" t="s">
        <v>4</v>
      </c>
      <c r="F331" s="6">
        <v>21</v>
      </c>
      <c r="G331" s="5" t="s">
        <v>13</v>
      </c>
      <c r="H331" s="6" t="s">
        <v>204</v>
      </c>
      <c r="I331" s="6">
        <v>2022</v>
      </c>
      <c r="J331" s="6" t="s">
        <v>212</v>
      </c>
      <c r="K331" s="6">
        <v>5</v>
      </c>
      <c r="L331" s="46">
        <v>684255.16</v>
      </c>
    </row>
    <row r="332" spans="1:12" x14ac:dyDescent="0.25">
      <c r="A332" s="5" t="s">
        <v>268</v>
      </c>
      <c r="B332" s="17">
        <v>10100</v>
      </c>
      <c r="C332" s="17" t="s">
        <v>5</v>
      </c>
      <c r="D332" s="17">
        <v>1</v>
      </c>
      <c r="E332" s="17" t="s">
        <v>1</v>
      </c>
      <c r="F332" s="17">
        <v>11</v>
      </c>
      <c r="G332" s="16" t="s">
        <v>6</v>
      </c>
      <c r="H332" s="17" t="s">
        <v>199</v>
      </c>
      <c r="I332" s="17">
        <v>2022</v>
      </c>
      <c r="J332" s="17" t="s">
        <v>212</v>
      </c>
      <c r="K332" s="17">
        <v>5</v>
      </c>
      <c r="L332" s="47">
        <v>239248.6</v>
      </c>
    </row>
    <row r="333" spans="1:12" x14ac:dyDescent="0.25">
      <c r="A333" s="5" t="s">
        <v>268</v>
      </c>
      <c r="B333" s="6">
        <v>10100</v>
      </c>
      <c r="C333" s="6" t="s">
        <v>5</v>
      </c>
      <c r="D333" s="6">
        <v>1</v>
      </c>
      <c r="E333" s="6" t="s">
        <v>1</v>
      </c>
      <c r="F333" s="6">
        <v>11</v>
      </c>
      <c r="G333" s="5" t="s">
        <v>9</v>
      </c>
      <c r="H333" s="6" t="s">
        <v>200</v>
      </c>
      <c r="I333" s="6">
        <v>2022</v>
      </c>
      <c r="J333" s="6" t="s">
        <v>212</v>
      </c>
      <c r="K333" s="6">
        <v>5</v>
      </c>
      <c r="L333" s="46">
        <v>12073.13</v>
      </c>
    </row>
    <row r="334" spans="1:12" x14ac:dyDescent="0.25">
      <c r="A334" s="5" t="s">
        <v>268</v>
      </c>
      <c r="B334" s="17">
        <v>10100</v>
      </c>
      <c r="C334" s="17" t="s">
        <v>5</v>
      </c>
      <c r="D334" s="17">
        <v>1</v>
      </c>
      <c r="E334" s="17" t="s">
        <v>1</v>
      </c>
      <c r="F334" s="17">
        <v>11</v>
      </c>
      <c r="G334" s="16" t="s">
        <v>7</v>
      </c>
      <c r="H334" s="17" t="s">
        <v>201</v>
      </c>
      <c r="I334" s="17">
        <v>2022</v>
      </c>
      <c r="J334" s="17" t="s">
        <v>212</v>
      </c>
      <c r="K334" s="17">
        <v>5</v>
      </c>
      <c r="L334" s="47">
        <v>18311.23</v>
      </c>
    </row>
    <row r="335" spans="1:12" x14ac:dyDescent="0.25">
      <c r="A335" s="5" t="s">
        <v>268</v>
      </c>
      <c r="B335" s="6">
        <v>10100</v>
      </c>
      <c r="C335" s="6" t="s">
        <v>5</v>
      </c>
      <c r="D335" s="6">
        <v>1</v>
      </c>
      <c r="E335" s="6" t="s">
        <v>1</v>
      </c>
      <c r="F335" s="6">
        <v>11</v>
      </c>
      <c r="G335" s="5" t="s">
        <v>10</v>
      </c>
      <c r="H335" s="6" t="s">
        <v>199</v>
      </c>
      <c r="I335" s="6">
        <v>2022</v>
      </c>
      <c r="J335" s="6" t="s">
        <v>212</v>
      </c>
      <c r="K335" s="6">
        <v>5</v>
      </c>
      <c r="L335" s="50">
        <v>13279.12</v>
      </c>
    </row>
    <row r="336" spans="1:12" x14ac:dyDescent="0.25">
      <c r="A336" s="5" t="s">
        <v>268</v>
      </c>
      <c r="B336" s="17">
        <v>10100</v>
      </c>
      <c r="C336" s="17" t="s">
        <v>5</v>
      </c>
      <c r="D336" s="17">
        <v>1</v>
      </c>
      <c r="E336" s="17" t="s">
        <v>1</v>
      </c>
      <c r="F336" s="17">
        <v>11</v>
      </c>
      <c r="G336" s="16" t="s">
        <v>11</v>
      </c>
      <c r="H336" s="17" t="s">
        <v>202</v>
      </c>
      <c r="I336" s="17">
        <v>2022</v>
      </c>
      <c r="J336" s="17" t="s">
        <v>212</v>
      </c>
      <c r="K336" s="17">
        <v>5</v>
      </c>
      <c r="L336" s="47">
        <v>31884.85</v>
      </c>
    </row>
    <row r="337" spans="1:12" x14ac:dyDescent="0.25">
      <c r="A337" s="5" t="s">
        <v>268</v>
      </c>
      <c r="B337" s="6">
        <v>10100</v>
      </c>
      <c r="C337" s="6" t="s">
        <v>5</v>
      </c>
      <c r="D337" s="6">
        <v>1</v>
      </c>
      <c r="E337" s="6" t="s">
        <v>1</v>
      </c>
      <c r="F337" s="6">
        <v>11</v>
      </c>
      <c r="G337" s="5" t="s">
        <v>12</v>
      </c>
      <c r="H337" s="6" t="s">
        <v>205</v>
      </c>
      <c r="I337" s="6">
        <v>2022</v>
      </c>
      <c r="J337" s="6" t="s">
        <v>212</v>
      </c>
      <c r="K337" s="6">
        <v>5</v>
      </c>
      <c r="L337" s="46">
        <v>25991.759999999998</v>
      </c>
    </row>
    <row r="338" spans="1:12" x14ac:dyDescent="0.25">
      <c r="A338" s="5" t="s">
        <v>268</v>
      </c>
      <c r="B338" s="17">
        <v>10100</v>
      </c>
      <c r="C338" s="17" t="s">
        <v>5</v>
      </c>
      <c r="D338" s="17">
        <v>1</v>
      </c>
      <c r="E338" s="17" t="s">
        <v>1</v>
      </c>
      <c r="F338" s="17">
        <v>11</v>
      </c>
      <c r="G338" s="16" t="s">
        <v>18</v>
      </c>
      <c r="H338" s="17" t="s">
        <v>203</v>
      </c>
      <c r="I338" s="17">
        <v>2022</v>
      </c>
      <c r="J338" s="17" t="s">
        <v>212</v>
      </c>
      <c r="K338" s="17">
        <v>5</v>
      </c>
      <c r="L338" s="47">
        <v>5647.91</v>
      </c>
    </row>
    <row r="339" spans="1:12" x14ac:dyDescent="0.25">
      <c r="A339" s="5" t="s">
        <v>268</v>
      </c>
      <c r="B339" s="6">
        <v>10100</v>
      </c>
      <c r="C339" s="6" t="s">
        <v>5</v>
      </c>
      <c r="D339" s="6">
        <v>1</v>
      </c>
      <c r="E339" s="6" t="s">
        <v>3</v>
      </c>
      <c r="F339" s="6">
        <v>12</v>
      </c>
      <c r="G339" s="5" t="s">
        <v>8</v>
      </c>
      <c r="H339" s="6" t="s">
        <v>206</v>
      </c>
      <c r="I339" s="6">
        <v>2022</v>
      </c>
      <c r="J339" s="6" t="s">
        <v>212</v>
      </c>
      <c r="K339" s="6">
        <v>5</v>
      </c>
      <c r="L339" s="46">
        <v>230000</v>
      </c>
    </row>
    <row r="340" spans="1:12" x14ac:dyDescent="0.25">
      <c r="A340" s="5" t="s">
        <v>268</v>
      </c>
      <c r="B340" s="17">
        <v>10100</v>
      </c>
      <c r="C340" s="17" t="s">
        <v>20</v>
      </c>
      <c r="D340" s="17">
        <v>2</v>
      </c>
      <c r="E340" s="17" t="s">
        <v>4</v>
      </c>
      <c r="F340" s="17">
        <v>21</v>
      </c>
      <c r="G340" s="16" t="s">
        <v>14</v>
      </c>
      <c r="H340" s="17" t="s">
        <v>207</v>
      </c>
      <c r="I340" s="17">
        <v>2022</v>
      </c>
      <c r="J340" s="17" t="s">
        <v>212</v>
      </c>
      <c r="K340" s="17">
        <v>5</v>
      </c>
      <c r="L340" s="47">
        <v>29542.99</v>
      </c>
    </row>
    <row r="341" spans="1:12" x14ac:dyDescent="0.25">
      <c r="A341" s="5" t="s">
        <v>268</v>
      </c>
      <c r="B341" s="6">
        <v>10112</v>
      </c>
      <c r="C341" s="6" t="s">
        <v>20</v>
      </c>
      <c r="D341" s="6">
        <v>2</v>
      </c>
      <c r="E341" s="6" t="s">
        <v>4</v>
      </c>
      <c r="F341" s="6">
        <v>21</v>
      </c>
      <c r="G341" s="5" t="s">
        <v>13</v>
      </c>
      <c r="H341" s="6">
        <v>211</v>
      </c>
      <c r="I341" s="6">
        <v>2022</v>
      </c>
      <c r="J341" s="6" t="s">
        <v>228</v>
      </c>
      <c r="K341" s="6">
        <v>6</v>
      </c>
      <c r="L341" s="46">
        <v>233448.63</v>
      </c>
    </row>
    <row r="342" spans="1:12" x14ac:dyDescent="0.25">
      <c r="A342" s="5" t="s">
        <v>268</v>
      </c>
      <c r="B342" s="6">
        <v>10100</v>
      </c>
      <c r="C342" s="6" t="s">
        <v>5</v>
      </c>
      <c r="D342" s="6">
        <v>1</v>
      </c>
      <c r="E342" s="6" t="s">
        <v>1</v>
      </c>
      <c r="F342" s="6">
        <v>11</v>
      </c>
      <c r="G342" s="5" t="s">
        <v>6</v>
      </c>
      <c r="H342" s="6" t="s">
        <v>199</v>
      </c>
      <c r="I342" s="6">
        <v>2022</v>
      </c>
      <c r="J342" s="6" t="s">
        <v>229</v>
      </c>
      <c r="K342" s="6">
        <v>7</v>
      </c>
      <c r="L342" s="46">
        <v>236991.53</v>
      </c>
    </row>
    <row r="343" spans="1:12" x14ac:dyDescent="0.25">
      <c r="A343" s="5" t="s">
        <v>268</v>
      </c>
      <c r="B343" s="17">
        <v>10100</v>
      </c>
      <c r="C343" s="17" t="s">
        <v>5</v>
      </c>
      <c r="D343" s="17">
        <v>1</v>
      </c>
      <c r="E343" s="17" t="s">
        <v>1</v>
      </c>
      <c r="F343" s="17">
        <v>11</v>
      </c>
      <c r="G343" s="16" t="s">
        <v>9</v>
      </c>
      <c r="H343" s="17" t="s">
        <v>200</v>
      </c>
      <c r="I343" s="17">
        <v>2022</v>
      </c>
      <c r="J343" s="17" t="s">
        <v>229</v>
      </c>
      <c r="K343" s="17">
        <v>7</v>
      </c>
      <c r="L343" s="47">
        <v>10415.709999999999</v>
      </c>
    </row>
    <row r="344" spans="1:12" x14ac:dyDescent="0.25">
      <c r="A344" s="5" t="s">
        <v>268</v>
      </c>
      <c r="B344" s="6">
        <v>10100</v>
      </c>
      <c r="C344" s="6" t="s">
        <v>5</v>
      </c>
      <c r="D344" s="6">
        <v>1</v>
      </c>
      <c r="E344" s="6" t="s">
        <v>1</v>
      </c>
      <c r="F344" s="6">
        <v>11</v>
      </c>
      <c r="G344" s="5" t="s">
        <v>7</v>
      </c>
      <c r="H344" s="6" t="s">
        <v>201</v>
      </c>
      <c r="I344" s="6">
        <v>2022</v>
      </c>
      <c r="J344" s="6" t="s">
        <v>229</v>
      </c>
      <c r="K344" s="6">
        <v>7</v>
      </c>
      <c r="L344" s="50">
        <v>18849.79</v>
      </c>
    </row>
    <row r="345" spans="1:12" x14ac:dyDescent="0.25">
      <c r="A345" s="5" t="s">
        <v>268</v>
      </c>
      <c r="B345" s="17">
        <v>10100</v>
      </c>
      <c r="C345" s="17" t="s">
        <v>5</v>
      </c>
      <c r="D345" s="17">
        <v>1</v>
      </c>
      <c r="E345" s="17" t="s">
        <v>1</v>
      </c>
      <c r="F345" s="17">
        <v>11</v>
      </c>
      <c r="G345" s="16" t="s">
        <v>10</v>
      </c>
      <c r="H345" s="17" t="s">
        <v>199</v>
      </c>
      <c r="I345" s="17">
        <v>2022</v>
      </c>
      <c r="J345" s="17" t="s">
        <v>229</v>
      </c>
      <c r="K345" s="17">
        <v>7</v>
      </c>
      <c r="L345" s="47">
        <v>13669.68</v>
      </c>
    </row>
    <row r="346" spans="1:12" x14ac:dyDescent="0.25">
      <c r="A346" s="5" t="s">
        <v>268</v>
      </c>
      <c r="B346" s="6">
        <v>10100</v>
      </c>
      <c r="C346" s="6" t="s">
        <v>5</v>
      </c>
      <c r="D346" s="6">
        <v>1</v>
      </c>
      <c r="E346" s="6" t="s">
        <v>1</v>
      </c>
      <c r="F346" s="6">
        <v>11</v>
      </c>
      <c r="G346" s="5" t="s">
        <v>11</v>
      </c>
      <c r="H346" s="6" t="s">
        <v>202</v>
      </c>
      <c r="I346" s="6">
        <v>2022</v>
      </c>
      <c r="J346" s="6" t="s">
        <v>229</v>
      </c>
      <c r="K346" s="6">
        <v>7</v>
      </c>
      <c r="L346" s="46">
        <v>30810.14</v>
      </c>
    </row>
    <row r="347" spans="1:12" x14ac:dyDescent="0.25">
      <c r="A347" s="5" t="s">
        <v>268</v>
      </c>
      <c r="B347" s="17">
        <v>10100</v>
      </c>
      <c r="C347" s="17" t="s">
        <v>5</v>
      </c>
      <c r="D347" s="17">
        <v>1</v>
      </c>
      <c r="E347" s="17" t="s">
        <v>1</v>
      </c>
      <c r="F347" s="17">
        <v>11</v>
      </c>
      <c r="G347" s="16" t="s">
        <v>12</v>
      </c>
      <c r="H347" s="17" t="s">
        <v>205</v>
      </c>
      <c r="I347" s="17">
        <v>2022</v>
      </c>
      <c r="J347" s="17" t="s">
        <v>229</v>
      </c>
      <c r="K347" s="17">
        <v>7</v>
      </c>
      <c r="L347" s="47">
        <v>25727.13</v>
      </c>
    </row>
    <row r="348" spans="1:12" x14ac:dyDescent="0.25">
      <c r="A348" s="5" t="s">
        <v>268</v>
      </c>
      <c r="B348" s="6">
        <v>10100</v>
      </c>
      <c r="C348" s="6" t="s">
        <v>5</v>
      </c>
      <c r="D348" s="6">
        <v>1</v>
      </c>
      <c r="E348" s="6" t="s">
        <v>1</v>
      </c>
      <c r="F348" s="6">
        <v>11</v>
      </c>
      <c r="G348" s="5" t="s">
        <v>18</v>
      </c>
      <c r="H348" s="6" t="s">
        <v>203</v>
      </c>
      <c r="I348" s="6">
        <v>2022</v>
      </c>
      <c r="J348" s="6" t="s">
        <v>229</v>
      </c>
      <c r="K348" s="6">
        <v>7</v>
      </c>
      <c r="L348" s="46">
        <v>5814.03</v>
      </c>
    </row>
    <row r="349" spans="1:12" x14ac:dyDescent="0.25">
      <c r="A349" s="5" t="s">
        <v>268</v>
      </c>
      <c r="B349" s="17">
        <v>10100</v>
      </c>
      <c r="C349" s="17" t="s">
        <v>5</v>
      </c>
      <c r="D349" s="17">
        <v>1</v>
      </c>
      <c r="E349" s="17" t="s">
        <v>3</v>
      </c>
      <c r="F349" s="17">
        <v>12</v>
      </c>
      <c r="G349" s="16" t="s">
        <v>8</v>
      </c>
      <c r="H349" s="17" t="s">
        <v>206</v>
      </c>
      <c r="I349" s="17">
        <v>2022</v>
      </c>
      <c r="J349" s="17" t="s">
        <v>229</v>
      </c>
      <c r="K349" s="17">
        <v>7</v>
      </c>
      <c r="L349" s="47">
        <v>575000</v>
      </c>
    </row>
    <row r="350" spans="1:12" x14ac:dyDescent="0.25">
      <c r="A350" s="5" t="s">
        <v>268</v>
      </c>
      <c r="B350" s="6">
        <v>10100</v>
      </c>
      <c r="C350" s="6" t="s">
        <v>20</v>
      </c>
      <c r="D350" s="6">
        <v>2</v>
      </c>
      <c r="E350" s="6" t="s">
        <v>4</v>
      </c>
      <c r="F350" s="6">
        <v>21</v>
      </c>
      <c r="G350" s="5" t="s">
        <v>13</v>
      </c>
      <c r="H350" s="6" t="s">
        <v>204</v>
      </c>
      <c r="I350" s="6">
        <v>2022</v>
      </c>
      <c r="J350" s="6" t="s">
        <v>229</v>
      </c>
      <c r="K350" s="6">
        <v>7</v>
      </c>
      <c r="L350" s="46">
        <v>527403.09</v>
      </c>
    </row>
    <row r="351" spans="1:12" x14ac:dyDescent="0.25">
      <c r="A351" s="5" t="s">
        <v>268</v>
      </c>
      <c r="B351" s="17">
        <v>10100</v>
      </c>
      <c r="C351" s="17" t="s">
        <v>20</v>
      </c>
      <c r="D351" s="17">
        <v>2</v>
      </c>
      <c r="E351" s="17" t="s">
        <v>4</v>
      </c>
      <c r="F351" s="17">
        <v>21</v>
      </c>
      <c r="G351" s="16" t="s">
        <v>14</v>
      </c>
      <c r="H351" s="17" t="s">
        <v>207</v>
      </c>
      <c r="I351" s="17">
        <v>2022</v>
      </c>
      <c r="J351" s="17" t="s">
        <v>229</v>
      </c>
      <c r="K351" s="17">
        <v>7</v>
      </c>
      <c r="L351" s="47">
        <v>39472.65</v>
      </c>
    </row>
    <row r="352" spans="1:12" x14ac:dyDescent="0.25">
      <c r="A352" s="5" t="s">
        <v>268</v>
      </c>
      <c r="B352" s="6">
        <v>10100</v>
      </c>
      <c r="C352" s="6" t="s">
        <v>5</v>
      </c>
      <c r="D352" s="6">
        <v>1</v>
      </c>
      <c r="E352" s="6" t="s">
        <v>1</v>
      </c>
      <c r="F352" s="6">
        <v>11</v>
      </c>
      <c r="G352" s="5" t="s">
        <v>6</v>
      </c>
      <c r="H352" s="6" t="s">
        <v>199</v>
      </c>
      <c r="I352" s="6">
        <v>2022</v>
      </c>
      <c r="J352" s="6" t="s">
        <v>230</v>
      </c>
      <c r="K352" s="6">
        <v>8</v>
      </c>
      <c r="L352" s="46">
        <v>226727.78</v>
      </c>
    </row>
    <row r="353" spans="1:12" x14ac:dyDescent="0.25">
      <c r="A353" s="5" t="s">
        <v>268</v>
      </c>
      <c r="B353" s="17">
        <v>10100</v>
      </c>
      <c r="C353" s="17" t="s">
        <v>5</v>
      </c>
      <c r="D353" s="17">
        <v>1</v>
      </c>
      <c r="E353" s="17" t="s">
        <v>1</v>
      </c>
      <c r="F353" s="17">
        <v>11</v>
      </c>
      <c r="G353" s="16" t="s">
        <v>9</v>
      </c>
      <c r="H353" s="17" t="s">
        <v>200</v>
      </c>
      <c r="I353" s="17">
        <v>2022</v>
      </c>
      <c r="J353" s="17" t="s">
        <v>230</v>
      </c>
      <c r="K353" s="17">
        <v>8</v>
      </c>
      <c r="L353" s="47">
        <v>5283.84</v>
      </c>
    </row>
    <row r="354" spans="1:12" x14ac:dyDescent="0.25">
      <c r="A354" s="5" t="s">
        <v>268</v>
      </c>
      <c r="B354" s="6">
        <v>10100</v>
      </c>
      <c r="C354" s="6" t="s">
        <v>5</v>
      </c>
      <c r="D354" s="6">
        <v>1</v>
      </c>
      <c r="E354" s="6" t="s">
        <v>1</v>
      </c>
      <c r="F354" s="6">
        <v>11</v>
      </c>
      <c r="G354" s="5" t="s">
        <v>7</v>
      </c>
      <c r="H354" s="6" t="s">
        <v>201</v>
      </c>
      <c r="I354" s="6">
        <v>2022</v>
      </c>
      <c r="J354" s="6" t="s">
        <v>230</v>
      </c>
      <c r="K354" s="6">
        <v>8</v>
      </c>
      <c r="L354" s="46">
        <v>6533.29</v>
      </c>
    </row>
    <row r="355" spans="1:12" x14ac:dyDescent="0.25">
      <c r="A355" s="5" t="s">
        <v>268</v>
      </c>
      <c r="B355" s="17">
        <v>10100</v>
      </c>
      <c r="C355" s="17" t="s">
        <v>5</v>
      </c>
      <c r="D355" s="17">
        <v>1</v>
      </c>
      <c r="E355" s="17" t="s">
        <v>1</v>
      </c>
      <c r="F355" s="17">
        <v>11</v>
      </c>
      <c r="G355" s="16" t="s">
        <v>10</v>
      </c>
      <c r="H355" s="17" t="s">
        <v>199</v>
      </c>
      <c r="I355" s="17">
        <v>2022</v>
      </c>
      <c r="J355" s="17" t="s">
        <v>230</v>
      </c>
      <c r="K355" s="17">
        <v>8</v>
      </c>
      <c r="L355" s="47">
        <v>2379.56</v>
      </c>
    </row>
    <row r="356" spans="1:12" x14ac:dyDescent="0.25">
      <c r="A356" s="5" t="s">
        <v>268</v>
      </c>
      <c r="B356" s="6">
        <v>10100</v>
      </c>
      <c r="C356" s="6" t="s">
        <v>5</v>
      </c>
      <c r="D356" s="6">
        <v>1</v>
      </c>
      <c r="E356" s="6" t="s">
        <v>1</v>
      </c>
      <c r="F356" s="6">
        <v>11</v>
      </c>
      <c r="G356" s="5" t="s">
        <v>11</v>
      </c>
      <c r="H356" s="6" t="s">
        <v>202</v>
      </c>
      <c r="I356" s="6">
        <v>2022</v>
      </c>
      <c r="J356" s="6" t="s">
        <v>230</v>
      </c>
      <c r="K356" s="6">
        <v>8</v>
      </c>
      <c r="L356" s="46">
        <v>7203.52</v>
      </c>
    </row>
    <row r="357" spans="1:12" x14ac:dyDescent="0.25">
      <c r="A357" s="5" t="s">
        <v>268</v>
      </c>
      <c r="B357" s="17">
        <v>10100</v>
      </c>
      <c r="C357" s="17" t="s">
        <v>5</v>
      </c>
      <c r="D357" s="17">
        <v>1</v>
      </c>
      <c r="E357" s="17" t="s">
        <v>1</v>
      </c>
      <c r="F357" s="17">
        <v>11</v>
      </c>
      <c r="G357" s="16" t="s">
        <v>18</v>
      </c>
      <c r="H357" s="17" t="s">
        <v>203</v>
      </c>
      <c r="I357" s="17">
        <v>2022</v>
      </c>
      <c r="J357" s="17" t="s">
        <v>230</v>
      </c>
      <c r="K357" s="17">
        <v>8</v>
      </c>
      <c r="L357" s="47">
        <v>682.16</v>
      </c>
    </row>
    <row r="358" spans="1:12" x14ac:dyDescent="0.25">
      <c r="A358" s="5" t="s">
        <v>268</v>
      </c>
      <c r="B358" s="6">
        <v>10100</v>
      </c>
      <c r="C358" s="6" t="s">
        <v>20</v>
      </c>
      <c r="D358" s="6">
        <v>2</v>
      </c>
      <c r="E358" s="6" t="s">
        <v>4</v>
      </c>
      <c r="F358" s="6">
        <v>21</v>
      </c>
      <c r="G358" s="5" t="s">
        <v>13</v>
      </c>
      <c r="H358" s="6" t="s">
        <v>204</v>
      </c>
      <c r="I358" s="6">
        <v>2022</v>
      </c>
      <c r="J358" s="6" t="s">
        <v>230</v>
      </c>
      <c r="K358" s="6">
        <v>8</v>
      </c>
      <c r="L358" s="50">
        <v>587778.07999999996</v>
      </c>
    </row>
    <row r="359" spans="1:12" x14ac:dyDescent="0.25">
      <c r="A359" s="5" t="s">
        <v>268</v>
      </c>
      <c r="B359" s="17">
        <v>10100</v>
      </c>
      <c r="C359" s="17" t="s">
        <v>5</v>
      </c>
      <c r="D359" s="17">
        <v>1</v>
      </c>
      <c r="E359" s="17" t="s">
        <v>1</v>
      </c>
      <c r="F359" s="17">
        <v>11</v>
      </c>
      <c r="G359" s="16" t="s">
        <v>6</v>
      </c>
      <c r="H359" s="17" t="s">
        <v>199</v>
      </c>
      <c r="I359" s="17">
        <v>2022</v>
      </c>
      <c r="J359" s="17" t="s">
        <v>230</v>
      </c>
      <c r="K359" s="17">
        <v>8</v>
      </c>
      <c r="L359" s="47">
        <v>236991.53</v>
      </c>
    </row>
    <row r="360" spans="1:12" x14ac:dyDescent="0.25">
      <c r="A360" s="5" t="s">
        <v>268</v>
      </c>
      <c r="B360" s="6">
        <v>10100</v>
      </c>
      <c r="C360" s="6" t="s">
        <v>5</v>
      </c>
      <c r="D360" s="6">
        <v>1</v>
      </c>
      <c r="E360" s="6" t="s">
        <v>1</v>
      </c>
      <c r="F360" s="6">
        <v>11</v>
      </c>
      <c r="G360" s="5" t="s">
        <v>9</v>
      </c>
      <c r="H360" s="6" t="s">
        <v>200</v>
      </c>
      <c r="I360" s="6">
        <v>2022</v>
      </c>
      <c r="J360" s="6" t="s">
        <v>230</v>
      </c>
      <c r="K360" s="6">
        <v>8</v>
      </c>
      <c r="L360" s="46">
        <v>12676.78</v>
      </c>
    </row>
    <row r="361" spans="1:12" x14ac:dyDescent="0.25">
      <c r="A361" s="5" t="s">
        <v>268</v>
      </c>
      <c r="B361" s="17">
        <v>10100</v>
      </c>
      <c r="C361" s="17" t="s">
        <v>5</v>
      </c>
      <c r="D361" s="17">
        <v>1</v>
      </c>
      <c r="E361" s="17" t="s">
        <v>1</v>
      </c>
      <c r="F361" s="17">
        <v>11</v>
      </c>
      <c r="G361" s="16" t="s">
        <v>7</v>
      </c>
      <c r="H361" s="17" t="s">
        <v>201</v>
      </c>
      <c r="I361" s="17">
        <v>2022</v>
      </c>
      <c r="J361" s="17" t="s">
        <v>230</v>
      </c>
      <c r="K361" s="17">
        <v>8</v>
      </c>
      <c r="L361" s="47">
        <v>19226.79</v>
      </c>
    </row>
    <row r="362" spans="1:12" x14ac:dyDescent="0.25">
      <c r="A362" s="5" t="s">
        <v>268</v>
      </c>
      <c r="B362" s="6">
        <v>10100</v>
      </c>
      <c r="C362" s="6" t="s">
        <v>5</v>
      </c>
      <c r="D362" s="6">
        <v>1</v>
      </c>
      <c r="E362" s="6" t="s">
        <v>1</v>
      </c>
      <c r="F362" s="6">
        <v>11</v>
      </c>
      <c r="G362" s="5" t="s">
        <v>10</v>
      </c>
      <c r="H362" s="6" t="s">
        <v>199</v>
      </c>
      <c r="I362" s="6">
        <v>2022</v>
      </c>
      <c r="J362" s="6" t="s">
        <v>230</v>
      </c>
      <c r="K362" s="6">
        <v>8</v>
      </c>
      <c r="L362" s="46">
        <v>13943.07</v>
      </c>
    </row>
    <row r="363" spans="1:12" x14ac:dyDescent="0.25">
      <c r="A363" s="5" t="s">
        <v>268</v>
      </c>
      <c r="B363" s="17">
        <v>10100</v>
      </c>
      <c r="C363" s="17" t="s">
        <v>5</v>
      </c>
      <c r="D363" s="17">
        <v>1</v>
      </c>
      <c r="E363" s="17" t="s">
        <v>1</v>
      </c>
      <c r="F363" s="17">
        <v>11</v>
      </c>
      <c r="G363" s="16" t="s">
        <v>11</v>
      </c>
      <c r="H363" s="17" t="s">
        <v>202</v>
      </c>
      <c r="I363" s="17">
        <v>2022</v>
      </c>
      <c r="J363" s="17" t="s">
        <v>230</v>
      </c>
      <c r="K363" s="17">
        <v>8</v>
      </c>
      <c r="L363" s="47">
        <v>33479.1</v>
      </c>
    </row>
    <row r="364" spans="1:12" x14ac:dyDescent="0.25">
      <c r="A364" s="5" t="s">
        <v>268</v>
      </c>
      <c r="B364" s="6">
        <v>10100</v>
      </c>
      <c r="C364" s="6" t="s">
        <v>5</v>
      </c>
      <c r="D364" s="6">
        <v>1</v>
      </c>
      <c r="E364" s="6" t="s">
        <v>1</v>
      </c>
      <c r="F364" s="6">
        <v>11</v>
      </c>
      <c r="G364" s="5" t="s">
        <v>12</v>
      </c>
      <c r="H364" s="6" t="s">
        <v>205</v>
      </c>
      <c r="I364" s="6">
        <v>2022</v>
      </c>
      <c r="J364" s="6" t="s">
        <v>230</v>
      </c>
      <c r="K364" s="6">
        <v>8</v>
      </c>
      <c r="L364" s="46">
        <v>26241.68</v>
      </c>
    </row>
    <row r="365" spans="1:12" x14ac:dyDescent="0.25">
      <c r="A365" s="5" t="s">
        <v>268</v>
      </c>
      <c r="B365" s="17">
        <v>10100</v>
      </c>
      <c r="C365" s="17" t="s">
        <v>5</v>
      </c>
      <c r="D365" s="17">
        <v>1</v>
      </c>
      <c r="E365" s="17" t="s">
        <v>1</v>
      </c>
      <c r="F365" s="17">
        <v>11</v>
      </c>
      <c r="G365" s="16" t="s">
        <v>18</v>
      </c>
      <c r="H365" s="17" t="s">
        <v>203</v>
      </c>
      <c r="I365" s="17">
        <v>2022</v>
      </c>
      <c r="J365" s="17" t="s">
        <v>230</v>
      </c>
      <c r="K365" s="17">
        <v>8</v>
      </c>
      <c r="L365" s="47">
        <v>5930.31</v>
      </c>
    </row>
    <row r="366" spans="1:12" x14ac:dyDescent="0.25">
      <c r="A366" s="5" t="s">
        <v>268</v>
      </c>
      <c r="B366" s="6">
        <v>10100</v>
      </c>
      <c r="C366" s="6" t="s">
        <v>5</v>
      </c>
      <c r="D366" s="6">
        <v>1</v>
      </c>
      <c r="E366" s="6" t="s">
        <v>3</v>
      </c>
      <c r="F366" s="6">
        <v>12</v>
      </c>
      <c r="G366" s="5" t="s">
        <v>8</v>
      </c>
      <c r="H366" s="6" t="s">
        <v>206</v>
      </c>
      <c r="I366" s="6">
        <v>2022</v>
      </c>
      <c r="J366" s="6" t="s">
        <v>230</v>
      </c>
      <c r="K366" s="6">
        <v>8</v>
      </c>
      <c r="L366" s="46">
        <v>575000</v>
      </c>
    </row>
    <row r="367" spans="1:12" x14ac:dyDescent="0.25">
      <c r="A367" s="5" t="s">
        <v>268</v>
      </c>
      <c r="B367" s="17">
        <v>10100</v>
      </c>
      <c r="C367" s="17" t="s">
        <v>20</v>
      </c>
      <c r="D367" s="17">
        <v>2</v>
      </c>
      <c r="E367" s="17" t="s">
        <v>4</v>
      </c>
      <c r="F367" s="17">
        <v>21</v>
      </c>
      <c r="G367" s="16" t="s">
        <v>14</v>
      </c>
      <c r="H367" s="17" t="s">
        <v>207</v>
      </c>
      <c r="I367" s="17">
        <v>2022</v>
      </c>
      <c r="J367" s="17" t="s">
        <v>230</v>
      </c>
      <c r="K367" s="17">
        <v>8</v>
      </c>
      <c r="L367" s="47">
        <v>31020.15</v>
      </c>
    </row>
    <row r="368" spans="1:12" x14ac:dyDescent="0.25">
      <c r="A368" s="5" t="s">
        <v>268</v>
      </c>
      <c r="B368" s="6">
        <v>10100</v>
      </c>
      <c r="C368" s="6" t="s">
        <v>5</v>
      </c>
      <c r="D368" s="6">
        <v>1</v>
      </c>
      <c r="E368" s="6" t="s">
        <v>1</v>
      </c>
      <c r="F368" s="6">
        <v>11</v>
      </c>
      <c r="G368" s="5" t="s">
        <v>6</v>
      </c>
      <c r="H368" s="6" t="s">
        <v>199</v>
      </c>
      <c r="I368" s="6">
        <v>2022</v>
      </c>
      <c r="J368" s="6" t="s">
        <v>231</v>
      </c>
      <c r="K368" s="6">
        <v>9</v>
      </c>
      <c r="L368" s="46">
        <v>238064.17</v>
      </c>
    </row>
    <row r="369" spans="1:12" x14ac:dyDescent="0.25">
      <c r="A369" s="5" t="s">
        <v>268</v>
      </c>
      <c r="B369" s="17">
        <v>10100</v>
      </c>
      <c r="C369" s="17" t="s">
        <v>5</v>
      </c>
      <c r="D369" s="17">
        <v>1</v>
      </c>
      <c r="E369" s="17" t="s">
        <v>1</v>
      </c>
      <c r="F369" s="17">
        <v>11</v>
      </c>
      <c r="G369" s="16" t="s">
        <v>9</v>
      </c>
      <c r="H369" s="17" t="s">
        <v>200</v>
      </c>
      <c r="I369" s="17">
        <v>2022</v>
      </c>
      <c r="J369" s="17" t="s">
        <v>231</v>
      </c>
      <c r="K369" s="17">
        <v>9</v>
      </c>
      <c r="L369" s="47">
        <v>5548.03</v>
      </c>
    </row>
    <row r="370" spans="1:12" x14ac:dyDescent="0.25">
      <c r="A370" s="5" t="s">
        <v>268</v>
      </c>
      <c r="B370" s="6">
        <v>10100</v>
      </c>
      <c r="C370" s="6" t="s">
        <v>5</v>
      </c>
      <c r="D370" s="6">
        <v>1</v>
      </c>
      <c r="E370" s="6" t="s">
        <v>1</v>
      </c>
      <c r="F370" s="6">
        <v>11</v>
      </c>
      <c r="G370" s="5" t="s">
        <v>7</v>
      </c>
      <c r="H370" s="6" t="s">
        <v>201</v>
      </c>
      <c r="I370" s="6">
        <v>2022</v>
      </c>
      <c r="J370" s="6" t="s">
        <v>231</v>
      </c>
      <c r="K370" s="6">
        <v>9</v>
      </c>
      <c r="L370" s="46">
        <v>6859.96</v>
      </c>
    </row>
    <row r="371" spans="1:12" x14ac:dyDescent="0.25">
      <c r="A371" s="5" t="s">
        <v>268</v>
      </c>
      <c r="B371" s="17">
        <v>10100</v>
      </c>
      <c r="C371" s="17" t="s">
        <v>5</v>
      </c>
      <c r="D371" s="17">
        <v>1</v>
      </c>
      <c r="E371" s="17" t="s">
        <v>1</v>
      </c>
      <c r="F371" s="17">
        <v>11</v>
      </c>
      <c r="G371" s="16" t="s">
        <v>10</v>
      </c>
      <c r="H371" s="17" t="s">
        <v>199</v>
      </c>
      <c r="I371" s="17">
        <v>2022</v>
      </c>
      <c r="J371" s="17" t="s">
        <v>231</v>
      </c>
      <c r="K371" s="17">
        <v>9</v>
      </c>
      <c r="L371" s="47">
        <v>2498.54</v>
      </c>
    </row>
    <row r="372" spans="1:12" x14ac:dyDescent="0.25">
      <c r="A372" s="5" t="s">
        <v>268</v>
      </c>
      <c r="B372" s="6">
        <v>10100</v>
      </c>
      <c r="C372" s="6" t="s">
        <v>5</v>
      </c>
      <c r="D372" s="6">
        <v>1</v>
      </c>
      <c r="E372" s="6" t="s">
        <v>1</v>
      </c>
      <c r="F372" s="6">
        <v>11</v>
      </c>
      <c r="G372" s="5" t="s">
        <v>11</v>
      </c>
      <c r="H372" s="6" t="s">
        <v>202</v>
      </c>
      <c r="I372" s="6">
        <v>2022</v>
      </c>
      <c r="J372" s="6" t="s">
        <v>231</v>
      </c>
      <c r="K372" s="6">
        <v>9</v>
      </c>
      <c r="L372" s="50">
        <v>7563.7</v>
      </c>
    </row>
    <row r="373" spans="1:12" x14ac:dyDescent="0.25">
      <c r="A373" s="5" t="s">
        <v>268</v>
      </c>
      <c r="B373" s="17">
        <v>10100</v>
      </c>
      <c r="C373" s="17" t="s">
        <v>5</v>
      </c>
      <c r="D373" s="17">
        <v>1</v>
      </c>
      <c r="E373" s="17" t="s">
        <v>1</v>
      </c>
      <c r="F373" s="17">
        <v>11</v>
      </c>
      <c r="G373" s="16" t="s">
        <v>18</v>
      </c>
      <c r="H373" s="17" t="s">
        <v>203</v>
      </c>
      <c r="I373" s="17">
        <v>2022</v>
      </c>
      <c r="J373" s="17" t="s">
        <v>231</v>
      </c>
      <c r="K373" s="17">
        <v>9</v>
      </c>
      <c r="L373" s="47">
        <v>716.27</v>
      </c>
    </row>
    <row r="374" spans="1:12" x14ac:dyDescent="0.25">
      <c r="A374" s="5" t="s">
        <v>268</v>
      </c>
      <c r="B374" s="6">
        <v>10100</v>
      </c>
      <c r="C374" s="6" t="s">
        <v>20</v>
      </c>
      <c r="D374" s="6">
        <v>2</v>
      </c>
      <c r="E374" s="6" t="s">
        <v>4</v>
      </c>
      <c r="F374" s="6">
        <v>21</v>
      </c>
      <c r="G374" s="5" t="s">
        <v>13</v>
      </c>
      <c r="H374" s="6" t="s">
        <v>204</v>
      </c>
      <c r="I374" s="6">
        <v>2022</v>
      </c>
      <c r="J374" s="6" t="s">
        <v>231</v>
      </c>
      <c r="K374" s="6">
        <v>9</v>
      </c>
      <c r="L374" s="46">
        <v>568767.4</v>
      </c>
    </row>
    <row r="375" spans="1:12" x14ac:dyDescent="0.25">
      <c r="A375" s="5" t="s">
        <v>268</v>
      </c>
      <c r="B375" s="17">
        <v>10100</v>
      </c>
      <c r="C375" s="17" t="s">
        <v>5</v>
      </c>
      <c r="D375" s="17">
        <v>1</v>
      </c>
      <c r="E375" s="17" t="s">
        <v>1</v>
      </c>
      <c r="F375" s="17">
        <v>11</v>
      </c>
      <c r="G375" s="16" t="s">
        <v>6</v>
      </c>
      <c r="H375" s="17" t="s">
        <v>199</v>
      </c>
      <c r="I375" s="17">
        <v>2022</v>
      </c>
      <c r="J375" s="17" t="s">
        <v>231</v>
      </c>
      <c r="K375" s="17">
        <v>9</v>
      </c>
      <c r="L375" s="47">
        <v>248841.11</v>
      </c>
    </row>
    <row r="376" spans="1:12" x14ac:dyDescent="0.25">
      <c r="A376" s="5" t="s">
        <v>268</v>
      </c>
      <c r="B376" s="6">
        <v>10100</v>
      </c>
      <c r="C376" s="6" t="s">
        <v>5</v>
      </c>
      <c r="D376" s="6">
        <v>1</v>
      </c>
      <c r="E376" s="6" t="s">
        <v>1</v>
      </c>
      <c r="F376" s="6">
        <v>11</v>
      </c>
      <c r="G376" s="5" t="s">
        <v>9</v>
      </c>
      <c r="H376" s="6" t="s">
        <v>200</v>
      </c>
      <c r="I376" s="6">
        <v>2022</v>
      </c>
      <c r="J376" s="6" t="s">
        <v>231</v>
      </c>
      <c r="K376" s="6">
        <v>9</v>
      </c>
      <c r="L376" s="46">
        <v>13310.62</v>
      </c>
    </row>
    <row r="377" spans="1:12" x14ac:dyDescent="0.25">
      <c r="A377" s="5" t="s">
        <v>268</v>
      </c>
      <c r="B377" s="17">
        <v>10100</v>
      </c>
      <c r="C377" s="17" t="s">
        <v>5</v>
      </c>
      <c r="D377" s="17">
        <v>1</v>
      </c>
      <c r="E377" s="17" t="s">
        <v>1</v>
      </c>
      <c r="F377" s="17">
        <v>11</v>
      </c>
      <c r="G377" s="16" t="s">
        <v>7</v>
      </c>
      <c r="H377" s="17" t="s">
        <v>201</v>
      </c>
      <c r="I377" s="17">
        <v>2022</v>
      </c>
      <c r="J377" s="17" t="s">
        <v>231</v>
      </c>
      <c r="K377" s="17">
        <v>9</v>
      </c>
      <c r="L377" s="47">
        <v>20188.14</v>
      </c>
    </row>
    <row r="378" spans="1:12" x14ac:dyDescent="0.25">
      <c r="A378" s="5" t="s">
        <v>268</v>
      </c>
      <c r="B378" s="6">
        <v>10100</v>
      </c>
      <c r="C378" s="6" t="s">
        <v>5</v>
      </c>
      <c r="D378" s="6">
        <v>1</v>
      </c>
      <c r="E378" s="6" t="s">
        <v>1</v>
      </c>
      <c r="F378" s="6">
        <v>11</v>
      </c>
      <c r="G378" s="5" t="s">
        <v>10</v>
      </c>
      <c r="H378" s="6" t="s">
        <v>199</v>
      </c>
      <c r="I378" s="6">
        <v>2022</v>
      </c>
      <c r="J378" s="6" t="s">
        <v>231</v>
      </c>
      <c r="K378" s="6">
        <v>9</v>
      </c>
      <c r="L378" s="46">
        <v>14640.22</v>
      </c>
    </row>
    <row r="379" spans="1:12" x14ac:dyDescent="0.25">
      <c r="A379" s="5" t="s">
        <v>268</v>
      </c>
      <c r="B379" s="17">
        <v>10100</v>
      </c>
      <c r="C379" s="17" t="s">
        <v>5</v>
      </c>
      <c r="D379" s="17">
        <v>1</v>
      </c>
      <c r="E379" s="17" t="s">
        <v>1</v>
      </c>
      <c r="F379" s="17">
        <v>11</v>
      </c>
      <c r="G379" s="16" t="s">
        <v>11</v>
      </c>
      <c r="H379" s="17" t="s">
        <v>202</v>
      </c>
      <c r="I379" s="17">
        <v>2022</v>
      </c>
      <c r="J379" s="17" t="s">
        <v>231</v>
      </c>
      <c r="K379" s="17">
        <v>9</v>
      </c>
      <c r="L379" s="47">
        <v>35153.050000000003</v>
      </c>
    </row>
    <row r="380" spans="1:12" x14ac:dyDescent="0.25">
      <c r="A380" s="5" t="s">
        <v>268</v>
      </c>
      <c r="B380" s="6">
        <v>10100</v>
      </c>
      <c r="C380" s="6" t="s">
        <v>5</v>
      </c>
      <c r="D380" s="6">
        <v>1</v>
      </c>
      <c r="E380" s="6" t="s">
        <v>1</v>
      </c>
      <c r="F380" s="6">
        <v>11</v>
      </c>
      <c r="G380" s="5" t="s">
        <v>12</v>
      </c>
      <c r="H380" s="6" t="s">
        <v>205</v>
      </c>
      <c r="I380" s="6">
        <v>2022</v>
      </c>
      <c r="J380" s="6" t="s">
        <v>231</v>
      </c>
      <c r="K380" s="6">
        <v>9</v>
      </c>
      <c r="L380" s="46">
        <v>27553.759999999998</v>
      </c>
    </row>
    <row r="381" spans="1:12" x14ac:dyDescent="0.25">
      <c r="A381" s="5" t="s">
        <v>268</v>
      </c>
      <c r="B381" s="17">
        <v>10100</v>
      </c>
      <c r="C381" s="17" t="s">
        <v>5</v>
      </c>
      <c r="D381" s="17">
        <v>1</v>
      </c>
      <c r="E381" s="17" t="s">
        <v>1</v>
      </c>
      <c r="F381" s="17">
        <v>11</v>
      </c>
      <c r="G381" s="16" t="s">
        <v>18</v>
      </c>
      <c r="H381" s="17" t="s">
        <v>203</v>
      </c>
      <c r="I381" s="17">
        <v>2022</v>
      </c>
      <c r="J381" s="17" t="s">
        <v>231</v>
      </c>
      <c r="K381" s="17">
        <v>9</v>
      </c>
      <c r="L381" s="47">
        <v>6226.82</v>
      </c>
    </row>
    <row r="382" spans="1:12" x14ac:dyDescent="0.25">
      <c r="A382" s="5" t="s">
        <v>268</v>
      </c>
      <c r="B382" s="6">
        <v>10100</v>
      </c>
      <c r="C382" s="6" t="s">
        <v>5</v>
      </c>
      <c r="D382" s="6">
        <v>1</v>
      </c>
      <c r="E382" s="6" t="s">
        <v>3</v>
      </c>
      <c r="F382" s="6">
        <v>12</v>
      </c>
      <c r="G382" s="5" t="s">
        <v>8</v>
      </c>
      <c r="H382" s="6" t="s">
        <v>206</v>
      </c>
      <c r="I382" s="6">
        <v>2022</v>
      </c>
      <c r="J382" s="6" t="s">
        <v>231</v>
      </c>
      <c r="K382" s="6">
        <v>9</v>
      </c>
      <c r="L382" s="46">
        <v>4352.88</v>
      </c>
    </row>
    <row r="383" spans="1:12" x14ac:dyDescent="0.25">
      <c r="A383" s="5" t="s">
        <v>268</v>
      </c>
      <c r="B383" s="17">
        <v>10100</v>
      </c>
      <c r="C383" s="17" t="s">
        <v>20</v>
      </c>
      <c r="D383" s="17">
        <v>2</v>
      </c>
      <c r="E383" s="17" t="s">
        <v>4</v>
      </c>
      <c r="F383" s="17">
        <v>21</v>
      </c>
      <c r="G383" s="16" t="s">
        <v>14</v>
      </c>
      <c r="H383" s="17" t="s">
        <v>207</v>
      </c>
      <c r="I383" s="17">
        <v>2022</v>
      </c>
      <c r="J383" s="17" t="s">
        <v>231</v>
      </c>
      <c r="K383" s="17">
        <v>9</v>
      </c>
      <c r="L383" s="47">
        <v>32571.14</v>
      </c>
    </row>
    <row r="384" spans="1:12" x14ac:dyDescent="0.25">
      <c r="A384" s="5" t="s">
        <v>268</v>
      </c>
      <c r="B384" s="6">
        <v>10100</v>
      </c>
      <c r="C384" s="6" t="s">
        <v>5</v>
      </c>
      <c r="D384" s="6">
        <v>1</v>
      </c>
      <c r="E384" s="6" t="s">
        <v>1</v>
      </c>
      <c r="F384" s="6">
        <v>11</v>
      </c>
      <c r="G384" s="5" t="s">
        <v>6</v>
      </c>
      <c r="H384" s="6" t="s">
        <v>199</v>
      </c>
      <c r="I384" s="6">
        <v>2022</v>
      </c>
      <c r="J384" s="6" t="s">
        <v>232</v>
      </c>
      <c r="K384" s="6">
        <v>10</v>
      </c>
      <c r="L384" s="46">
        <v>240331.45</v>
      </c>
    </row>
    <row r="385" spans="1:12" x14ac:dyDescent="0.25">
      <c r="A385" s="5" t="s">
        <v>268</v>
      </c>
      <c r="B385" s="17">
        <v>10100</v>
      </c>
      <c r="C385" s="17" t="s">
        <v>5</v>
      </c>
      <c r="D385" s="17">
        <v>1</v>
      </c>
      <c r="E385" s="17" t="s">
        <v>1</v>
      </c>
      <c r="F385" s="17">
        <v>11</v>
      </c>
      <c r="G385" s="16" t="s">
        <v>9</v>
      </c>
      <c r="H385" s="17" t="s">
        <v>200</v>
      </c>
      <c r="I385" s="17">
        <v>2022</v>
      </c>
      <c r="J385" s="17" t="s">
        <v>232</v>
      </c>
      <c r="K385" s="17">
        <v>10</v>
      </c>
      <c r="L385" s="47">
        <v>5283.84</v>
      </c>
    </row>
    <row r="386" spans="1:12" x14ac:dyDescent="0.25">
      <c r="A386" s="5" t="s">
        <v>268</v>
      </c>
      <c r="B386" s="6">
        <v>10100</v>
      </c>
      <c r="C386" s="6" t="s">
        <v>5</v>
      </c>
      <c r="D386" s="6">
        <v>1</v>
      </c>
      <c r="E386" s="6" t="s">
        <v>1</v>
      </c>
      <c r="F386" s="6">
        <v>11</v>
      </c>
      <c r="G386" s="5" t="s">
        <v>7</v>
      </c>
      <c r="H386" s="6" t="s">
        <v>201</v>
      </c>
      <c r="I386" s="6">
        <v>2022</v>
      </c>
      <c r="J386" s="6" t="s">
        <v>232</v>
      </c>
      <c r="K386" s="6">
        <v>10</v>
      </c>
      <c r="L386" s="50">
        <v>6533.29</v>
      </c>
    </row>
    <row r="387" spans="1:12" x14ac:dyDescent="0.25">
      <c r="A387" s="5" t="s">
        <v>268</v>
      </c>
      <c r="B387" s="17">
        <v>10100</v>
      </c>
      <c r="C387" s="17" t="s">
        <v>5</v>
      </c>
      <c r="D387" s="17">
        <v>1</v>
      </c>
      <c r="E387" s="17" t="s">
        <v>1</v>
      </c>
      <c r="F387" s="17">
        <v>11</v>
      </c>
      <c r="G387" s="16" t="s">
        <v>10</v>
      </c>
      <c r="H387" s="17" t="s">
        <v>199</v>
      </c>
      <c r="I387" s="17">
        <v>2022</v>
      </c>
      <c r="J387" s="17" t="s">
        <v>232</v>
      </c>
      <c r="K387" s="17">
        <v>10</v>
      </c>
      <c r="L387" s="47">
        <v>2379.56</v>
      </c>
    </row>
    <row r="388" spans="1:12" x14ac:dyDescent="0.25">
      <c r="A388" s="5" t="s">
        <v>268</v>
      </c>
      <c r="B388" s="6">
        <v>10100</v>
      </c>
      <c r="C388" s="6" t="s">
        <v>5</v>
      </c>
      <c r="D388" s="6">
        <v>1</v>
      </c>
      <c r="E388" s="6" t="s">
        <v>1</v>
      </c>
      <c r="F388" s="6">
        <v>11</v>
      </c>
      <c r="G388" s="5" t="s">
        <v>11</v>
      </c>
      <c r="H388" s="6" t="s">
        <v>202</v>
      </c>
      <c r="I388" s="6">
        <v>2022</v>
      </c>
      <c r="J388" s="6" t="s">
        <v>232</v>
      </c>
      <c r="K388" s="6">
        <v>10</v>
      </c>
      <c r="L388" s="46">
        <v>7203.52</v>
      </c>
    </row>
    <row r="389" spans="1:12" x14ac:dyDescent="0.25">
      <c r="A389" s="5" t="s">
        <v>268</v>
      </c>
      <c r="B389" s="17">
        <v>10100</v>
      </c>
      <c r="C389" s="17" t="s">
        <v>5</v>
      </c>
      <c r="D389" s="17">
        <v>1</v>
      </c>
      <c r="E389" s="17" t="s">
        <v>1</v>
      </c>
      <c r="F389" s="17">
        <v>11</v>
      </c>
      <c r="G389" s="16" t="s">
        <v>18</v>
      </c>
      <c r="H389" s="17" t="s">
        <v>203</v>
      </c>
      <c r="I389" s="17">
        <v>2022</v>
      </c>
      <c r="J389" s="17" t="s">
        <v>232</v>
      </c>
      <c r="K389" s="17">
        <v>10</v>
      </c>
      <c r="L389" s="47">
        <v>682.16</v>
      </c>
    </row>
    <row r="390" spans="1:12" x14ac:dyDescent="0.25">
      <c r="A390" s="5" t="s">
        <v>268</v>
      </c>
      <c r="B390" s="6">
        <v>10100</v>
      </c>
      <c r="C390" s="6" t="s">
        <v>20</v>
      </c>
      <c r="D390" s="6">
        <v>2</v>
      </c>
      <c r="E390" s="6" t="s">
        <v>4</v>
      </c>
      <c r="F390" s="6">
        <v>21</v>
      </c>
      <c r="G390" s="5" t="s">
        <v>13</v>
      </c>
      <c r="H390" s="6" t="s">
        <v>204</v>
      </c>
      <c r="I390" s="6">
        <v>2022</v>
      </c>
      <c r="J390" s="6" t="s">
        <v>232</v>
      </c>
      <c r="K390" s="6">
        <v>10</v>
      </c>
      <c r="L390" s="46">
        <v>718467.94</v>
      </c>
    </row>
    <row r="391" spans="1:12" x14ac:dyDescent="0.25">
      <c r="A391" s="5" t="s">
        <v>268</v>
      </c>
      <c r="B391" s="17">
        <v>10100</v>
      </c>
      <c r="C391" s="17" t="s">
        <v>5</v>
      </c>
      <c r="D391" s="17">
        <v>1</v>
      </c>
      <c r="E391" s="17" t="s">
        <v>1</v>
      </c>
      <c r="F391" s="17">
        <v>11</v>
      </c>
      <c r="G391" s="16" t="s">
        <v>6</v>
      </c>
      <c r="H391" s="17" t="s">
        <v>199</v>
      </c>
      <c r="I391" s="17">
        <v>2022</v>
      </c>
      <c r="J391" s="17" t="s">
        <v>232</v>
      </c>
      <c r="K391" s="17">
        <v>10</v>
      </c>
      <c r="L391" s="47">
        <v>251211.03</v>
      </c>
    </row>
    <row r="392" spans="1:12" x14ac:dyDescent="0.25">
      <c r="A392" s="5" t="s">
        <v>268</v>
      </c>
      <c r="B392" s="6">
        <v>10100</v>
      </c>
      <c r="C392" s="6" t="s">
        <v>5</v>
      </c>
      <c r="D392" s="6">
        <v>1</v>
      </c>
      <c r="E392" s="6" t="s">
        <v>1</v>
      </c>
      <c r="F392" s="6">
        <v>11</v>
      </c>
      <c r="G392" s="5" t="s">
        <v>9</v>
      </c>
      <c r="H392" s="6" t="s">
        <v>200</v>
      </c>
      <c r="I392" s="6">
        <v>2022</v>
      </c>
      <c r="J392" s="6" t="s">
        <v>232</v>
      </c>
      <c r="K392" s="6">
        <v>10</v>
      </c>
      <c r="L392" s="46">
        <v>12676.78</v>
      </c>
    </row>
    <row r="393" spans="1:12" x14ac:dyDescent="0.25">
      <c r="A393" s="5" t="s">
        <v>268</v>
      </c>
      <c r="B393" s="17">
        <v>10100</v>
      </c>
      <c r="C393" s="17" t="s">
        <v>5</v>
      </c>
      <c r="D393" s="17">
        <v>1</v>
      </c>
      <c r="E393" s="17" t="s">
        <v>1</v>
      </c>
      <c r="F393" s="17">
        <v>11</v>
      </c>
      <c r="G393" s="16" t="s">
        <v>7</v>
      </c>
      <c r="H393" s="17" t="s">
        <v>201</v>
      </c>
      <c r="I393" s="17">
        <v>2022</v>
      </c>
      <c r="J393" s="17" t="s">
        <v>232</v>
      </c>
      <c r="K393" s="17">
        <v>10</v>
      </c>
      <c r="L393" s="47">
        <v>19226.79</v>
      </c>
    </row>
    <row r="394" spans="1:12" x14ac:dyDescent="0.25">
      <c r="A394" s="5" t="s">
        <v>268</v>
      </c>
      <c r="B394" s="6">
        <v>10100</v>
      </c>
      <c r="C394" s="6" t="s">
        <v>5</v>
      </c>
      <c r="D394" s="6">
        <v>1</v>
      </c>
      <c r="E394" s="6" t="s">
        <v>1</v>
      </c>
      <c r="F394" s="6">
        <v>11</v>
      </c>
      <c r="G394" s="5" t="s">
        <v>10</v>
      </c>
      <c r="H394" s="6" t="s">
        <v>199</v>
      </c>
      <c r="I394" s="6">
        <v>2022</v>
      </c>
      <c r="J394" s="6" t="s">
        <v>232</v>
      </c>
      <c r="K394" s="6">
        <v>10</v>
      </c>
      <c r="L394" s="46">
        <v>13943.07</v>
      </c>
    </row>
    <row r="395" spans="1:12" x14ac:dyDescent="0.25">
      <c r="A395" s="5" t="s">
        <v>268</v>
      </c>
      <c r="B395" s="17">
        <v>10100</v>
      </c>
      <c r="C395" s="17" t="s">
        <v>5</v>
      </c>
      <c r="D395" s="17">
        <v>1</v>
      </c>
      <c r="E395" s="17" t="s">
        <v>1</v>
      </c>
      <c r="F395" s="17">
        <v>11</v>
      </c>
      <c r="G395" s="16" t="s">
        <v>11</v>
      </c>
      <c r="H395" s="17" t="s">
        <v>202</v>
      </c>
      <c r="I395" s="17">
        <v>2022</v>
      </c>
      <c r="J395" s="17" t="s">
        <v>232</v>
      </c>
      <c r="K395" s="17">
        <v>10</v>
      </c>
      <c r="L395" s="47">
        <v>33479.1</v>
      </c>
    </row>
    <row r="396" spans="1:12" x14ac:dyDescent="0.25">
      <c r="A396" s="5" t="s">
        <v>268</v>
      </c>
      <c r="B396" s="6">
        <v>10100</v>
      </c>
      <c r="C396" s="6" t="s">
        <v>5</v>
      </c>
      <c r="D396" s="6">
        <v>1</v>
      </c>
      <c r="E396" s="6" t="s">
        <v>1</v>
      </c>
      <c r="F396" s="6">
        <v>11</v>
      </c>
      <c r="G396" s="5" t="s">
        <v>12</v>
      </c>
      <c r="H396" s="6" t="s">
        <v>205</v>
      </c>
      <c r="I396" s="6">
        <v>2022</v>
      </c>
      <c r="J396" s="6" t="s">
        <v>232</v>
      </c>
      <c r="K396" s="6">
        <v>10</v>
      </c>
      <c r="L396" s="46">
        <v>27291.35</v>
      </c>
    </row>
    <row r="397" spans="1:12" x14ac:dyDescent="0.25">
      <c r="A397" s="5" t="s">
        <v>268</v>
      </c>
      <c r="B397" s="17">
        <v>10100</v>
      </c>
      <c r="C397" s="17" t="s">
        <v>5</v>
      </c>
      <c r="D397" s="17">
        <v>1</v>
      </c>
      <c r="E397" s="17" t="s">
        <v>1</v>
      </c>
      <c r="F397" s="17">
        <v>11</v>
      </c>
      <c r="G397" s="16" t="s">
        <v>18</v>
      </c>
      <c r="H397" s="17" t="s">
        <v>203</v>
      </c>
      <c r="I397" s="17">
        <v>2022</v>
      </c>
      <c r="J397" s="17" t="s">
        <v>232</v>
      </c>
      <c r="K397" s="17">
        <v>10</v>
      </c>
      <c r="L397" s="47">
        <v>5930.31</v>
      </c>
    </row>
    <row r="398" spans="1:12" x14ac:dyDescent="0.25">
      <c r="A398" s="5" t="s">
        <v>268</v>
      </c>
      <c r="B398" s="6">
        <v>10100</v>
      </c>
      <c r="C398" s="6" t="s">
        <v>5</v>
      </c>
      <c r="D398" s="6">
        <v>1</v>
      </c>
      <c r="E398" s="6" t="s">
        <v>3</v>
      </c>
      <c r="F398" s="6">
        <v>12</v>
      </c>
      <c r="G398" s="5" t="s">
        <v>8</v>
      </c>
      <c r="H398" s="6" t="s">
        <v>206</v>
      </c>
      <c r="I398" s="6">
        <v>2022</v>
      </c>
      <c r="J398" s="6" t="s">
        <v>232</v>
      </c>
      <c r="K398" s="6">
        <v>10</v>
      </c>
      <c r="L398" s="50">
        <v>241500</v>
      </c>
    </row>
    <row r="399" spans="1:12" x14ac:dyDescent="0.25">
      <c r="A399" s="5" t="s">
        <v>268</v>
      </c>
      <c r="B399" s="17">
        <v>10100</v>
      </c>
      <c r="C399" s="17" t="s">
        <v>20</v>
      </c>
      <c r="D399" s="17">
        <v>2</v>
      </c>
      <c r="E399" s="17" t="s">
        <v>4</v>
      </c>
      <c r="F399" s="17">
        <v>21</v>
      </c>
      <c r="G399" s="16" t="s">
        <v>14</v>
      </c>
      <c r="H399" s="17" t="s">
        <v>207</v>
      </c>
      <c r="I399" s="17">
        <v>2022</v>
      </c>
      <c r="J399" s="17" t="s">
        <v>232</v>
      </c>
      <c r="K399" s="17">
        <v>10</v>
      </c>
      <c r="L399" s="17">
        <v>31020.15</v>
      </c>
    </row>
    <row r="400" spans="1:12" x14ac:dyDescent="0.25">
      <c r="A400" s="5" t="s">
        <v>268</v>
      </c>
      <c r="B400" s="6">
        <v>10100</v>
      </c>
      <c r="C400" s="6" t="s">
        <v>5</v>
      </c>
      <c r="D400" s="6">
        <v>1</v>
      </c>
      <c r="E400" s="6" t="s">
        <v>1</v>
      </c>
      <c r="F400" s="6">
        <v>11</v>
      </c>
      <c r="G400" s="5" t="s">
        <v>6</v>
      </c>
      <c r="H400" s="6" t="s">
        <v>199</v>
      </c>
      <c r="I400" s="6">
        <v>2022</v>
      </c>
      <c r="J400" s="6" t="s">
        <v>233</v>
      </c>
      <c r="K400" s="6">
        <v>11</v>
      </c>
      <c r="L400" s="50">
        <v>204735.19</v>
      </c>
    </row>
    <row r="401" spans="1:12" x14ac:dyDescent="0.25">
      <c r="A401" s="5" t="s">
        <v>268</v>
      </c>
      <c r="B401" s="17">
        <v>10100</v>
      </c>
      <c r="C401" s="17" t="s">
        <v>5</v>
      </c>
      <c r="D401" s="17">
        <v>1</v>
      </c>
      <c r="E401" s="17" t="s">
        <v>1</v>
      </c>
      <c r="F401" s="17">
        <v>11</v>
      </c>
      <c r="G401" s="16" t="s">
        <v>9</v>
      </c>
      <c r="H401" s="17" t="s">
        <v>200</v>
      </c>
      <c r="I401" s="17">
        <v>2022</v>
      </c>
      <c r="J401" s="17" t="s">
        <v>233</v>
      </c>
      <c r="K401" s="17">
        <v>11</v>
      </c>
      <c r="L401" s="47">
        <v>4771.3</v>
      </c>
    </row>
    <row r="402" spans="1:12" x14ac:dyDescent="0.25">
      <c r="A402" s="5" t="s">
        <v>268</v>
      </c>
      <c r="B402" s="6">
        <v>10100</v>
      </c>
      <c r="C402" s="6" t="s">
        <v>5</v>
      </c>
      <c r="D402" s="6">
        <v>1</v>
      </c>
      <c r="E402" s="6" t="s">
        <v>1</v>
      </c>
      <c r="F402" s="6">
        <v>11</v>
      </c>
      <c r="G402" s="5" t="s">
        <v>7</v>
      </c>
      <c r="H402" s="6" t="s">
        <v>201</v>
      </c>
      <c r="I402" s="6">
        <v>2022</v>
      </c>
      <c r="J402" s="6" t="s">
        <v>233</v>
      </c>
      <c r="K402" s="6">
        <v>11</v>
      </c>
      <c r="L402" s="46">
        <v>5899.56</v>
      </c>
    </row>
    <row r="403" spans="1:12" x14ac:dyDescent="0.25">
      <c r="A403" s="5" t="s">
        <v>268</v>
      </c>
      <c r="B403" s="17">
        <v>10100</v>
      </c>
      <c r="C403" s="17" t="s">
        <v>5</v>
      </c>
      <c r="D403" s="17">
        <v>1</v>
      </c>
      <c r="E403" s="17" t="s">
        <v>1</v>
      </c>
      <c r="F403" s="17">
        <v>11</v>
      </c>
      <c r="G403" s="16" t="s">
        <v>10</v>
      </c>
      <c r="H403" s="17" t="s">
        <v>199</v>
      </c>
      <c r="I403" s="17">
        <v>2022</v>
      </c>
      <c r="J403" s="17" t="s">
        <v>233</v>
      </c>
      <c r="K403" s="17">
        <v>11</v>
      </c>
      <c r="L403" s="47">
        <v>2148.7399999999998</v>
      </c>
    </row>
    <row r="404" spans="1:12" x14ac:dyDescent="0.25">
      <c r="A404" s="5" t="s">
        <v>268</v>
      </c>
      <c r="B404" s="6">
        <v>10100</v>
      </c>
      <c r="C404" s="6" t="s">
        <v>5</v>
      </c>
      <c r="D404" s="6">
        <v>1</v>
      </c>
      <c r="E404" s="6" t="s">
        <v>1</v>
      </c>
      <c r="F404" s="6">
        <v>11</v>
      </c>
      <c r="G404" s="5" t="s">
        <v>11</v>
      </c>
      <c r="H404" s="6" t="s">
        <v>202</v>
      </c>
      <c r="I404" s="6">
        <v>2022</v>
      </c>
      <c r="J404" s="6" t="s">
        <v>233</v>
      </c>
      <c r="K404" s="6">
        <v>11</v>
      </c>
      <c r="L404" s="46">
        <v>6504.78</v>
      </c>
    </row>
    <row r="405" spans="1:12" x14ac:dyDescent="0.25">
      <c r="A405" s="5" t="s">
        <v>268</v>
      </c>
      <c r="B405" s="17">
        <v>10100</v>
      </c>
      <c r="C405" s="17" t="s">
        <v>5</v>
      </c>
      <c r="D405" s="17">
        <v>1</v>
      </c>
      <c r="E405" s="17" t="s">
        <v>1</v>
      </c>
      <c r="F405" s="17">
        <v>11</v>
      </c>
      <c r="G405" s="16" t="s">
        <v>18</v>
      </c>
      <c r="H405" s="17" t="s">
        <v>203</v>
      </c>
      <c r="I405" s="17">
        <v>2022</v>
      </c>
      <c r="J405" s="17" t="s">
        <v>233</v>
      </c>
      <c r="K405" s="17">
        <v>11</v>
      </c>
      <c r="L405" s="47">
        <v>615.99</v>
      </c>
    </row>
    <row r="406" spans="1:12" x14ac:dyDescent="0.25">
      <c r="A406" s="5" t="s">
        <v>268</v>
      </c>
      <c r="B406" s="6">
        <v>10100</v>
      </c>
      <c r="C406" s="6" t="s">
        <v>20</v>
      </c>
      <c r="D406" s="6">
        <v>2</v>
      </c>
      <c r="E406" s="6" t="s">
        <v>4</v>
      </c>
      <c r="F406" s="6">
        <v>21</v>
      </c>
      <c r="G406" s="5" t="s">
        <v>13</v>
      </c>
      <c r="H406" s="6" t="s">
        <v>204</v>
      </c>
      <c r="I406" s="6">
        <v>2022</v>
      </c>
      <c r="J406" s="6" t="s">
        <v>233</v>
      </c>
      <c r="K406" s="6">
        <v>11</v>
      </c>
      <c r="L406" s="46">
        <v>541683.24</v>
      </c>
    </row>
    <row r="407" spans="1:12" x14ac:dyDescent="0.25">
      <c r="A407" s="5" t="s">
        <v>268</v>
      </c>
      <c r="B407" s="17">
        <v>10100</v>
      </c>
      <c r="C407" s="17" t="s">
        <v>5</v>
      </c>
      <c r="D407" s="17">
        <v>1</v>
      </c>
      <c r="E407" s="17" t="s">
        <v>1</v>
      </c>
      <c r="F407" s="17">
        <v>11</v>
      </c>
      <c r="G407" s="16" t="s">
        <v>6</v>
      </c>
      <c r="H407" s="17" t="s">
        <v>199</v>
      </c>
      <c r="I407" s="17">
        <v>2022</v>
      </c>
      <c r="J407" s="17" t="s">
        <v>233</v>
      </c>
      <c r="K407" s="17">
        <v>11</v>
      </c>
      <c r="L407" s="47">
        <v>214003.35</v>
      </c>
    </row>
    <row r="408" spans="1:12" x14ac:dyDescent="0.25">
      <c r="A408" s="5" t="s">
        <v>268</v>
      </c>
      <c r="B408" s="6">
        <v>10100</v>
      </c>
      <c r="C408" s="6" t="s">
        <v>5</v>
      </c>
      <c r="D408" s="6">
        <v>1</v>
      </c>
      <c r="E408" s="6" t="s">
        <v>1</v>
      </c>
      <c r="F408" s="6">
        <v>11</v>
      </c>
      <c r="G408" s="5" t="s">
        <v>9</v>
      </c>
      <c r="H408" s="6" t="s">
        <v>200</v>
      </c>
      <c r="I408" s="6">
        <v>2022</v>
      </c>
      <c r="J408" s="6" t="s">
        <v>233</v>
      </c>
      <c r="K408" s="6">
        <v>11</v>
      </c>
      <c r="L408" s="46">
        <v>11447.13</v>
      </c>
    </row>
    <row r="409" spans="1:12" x14ac:dyDescent="0.25">
      <c r="A409" s="5" t="s">
        <v>268</v>
      </c>
      <c r="B409" s="17">
        <v>10100</v>
      </c>
      <c r="C409" s="17" t="s">
        <v>5</v>
      </c>
      <c r="D409" s="17">
        <v>1</v>
      </c>
      <c r="E409" s="17" t="s">
        <v>1</v>
      </c>
      <c r="F409" s="17">
        <v>11</v>
      </c>
      <c r="G409" s="16" t="s">
        <v>7</v>
      </c>
      <c r="H409" s="17" t="s">
        <v>201</v>
      </c>
      <c r="I409" s="17">
        <v>2022</v>
      </c>
      <c r="J409" s="17" t="s">
        <v>233</v>
      </c>
      <c r="K409" s="17">
        <v>11</v>
      </c>
      <c r="L409" s="47">
        <v>17361.79</v>
      </c>
    </row>
    <row r="410" spans="1:12" x14ac:dyDescent="0.25">
      <c r="A410" s="5" t="s">
        <v>268</v>
      </c>
      <c r="B410" s="6">
        <v>10100</v>
      </c>
      <c r="C410" s="6" t="s">
        <v>5</v>
      </c>
      <c r="D410" s="6">
        <v>1</v>
      </c>
      <c r="E410" s="6" t="s">
        <v>1</v>
      </c>
      <c r="F410" s="6">
        <v>11</v>
      </c>
      <c r="G410" s="5" t="s">
        <v>10</v>
      </c>
      <c r="H410" s="6" t="s">
        <v>199</v>
      </c>
      <c r="I410" s="6">
        <v>2022</v>
      </c>
      <c r="J410" s="6" t="s">
        <v>233</v>
      </c>
      <c r="K410" s="6">
        <v>11</v>
      </c>
      <c r="L410" s="46">
        <v>12590.59</v>
      </c>
    </row>
    <row r="411" spans="1:12" x14ac:dyDescent="0.25">
      <c r="A411" s="5" t="s">
        <v>268</v>
      </c>
      <c r="B411" s="17">
        <v>10100</v>
      </c>
      <c r="C411" s="17" t="s">
        <v>5</v>
      </c>
      <c r="D411" s="17">
        <v>1</v>
      </c>
      <c r="E411" s="17" t="s">
        <v>1</v>
      </c>
      <c r="F411" s="17">
        <v>11</v>
      </c>
      <c r="G411" s="16" t="s">
        <v>11</v>
      </c>
      <c r="H411" s="17" t="s">
        <v>202</v>
      </c>
      <c r="I411" s="17">
        <v>2022</v>
      </c>
      <c r="J411" s="17" t="s">
        <v>233</v>
      </c>
      <c r="K411" s="17">
        <v>11</v>
      </c>
      <c r="L411" s="47">
        <v>30231.63</v>
      </c>
    </row>
    <row r="412" spans="1:12" x14ac:dyDescent="0.25">
      <c r="A412" s="5" t="s">
        <v>268</v>
      </c>
      <c r="B412" s="6">
        <v>10100</v>
      </c>
      <c r="C412" s="6" t="s">
        <v>5</v>
      </c>
      <c r="D412" s="6">
        <v>1</v>
      </c>
      <c r="E412" s="6" t="s">
        <v>1</v>
      </c>
      <c r="F412" s="6">
        <v>11</v>
      </c>
      <c r="G412" s="5" t="s">
        <v>12</v>
      </c>
      <c r="H412" s="6" t="s">
        <v>205</v>
      </c>
      <c r="I412" s="6">
        <v>2022</v>
      </c>
      <c r="J412" s="6" t="s">
        <v>233</v>
      </c>
      <c r="K412" s="6">
        <v>11</v>
      </c>
      <c r="L412" s="50">
        <v>23696.23</v>
      </c>
    </row>
    <row r="413" spans="1:12" x14ac:dyDescent="0.25">
      <c r="A413" s="5" t="s">
        <v>268</v>
      </c>
      <c r="B413" s="17">
        <v>10100</v>
      </c>
      <c r="C413" s="17" t="s">
        <v>5</v>
      </c>
      <c r="D413" s="17">
        <v>1</v>
      </c>
      <c r="E413" s="17" t="s">
        <v>1</v>
      </c>
      <c r="F413" s="17">
        <v>11</v>
      </c>
      <c r="G413" s="16" t="s">
        <v>18</v>
      </c>
      <c r="H413" s="17" t="s">
        <v>203</v>
      </c>
      <c r="I413" s="17">
        <v>2022</v>
      </c>
      <c r="J413" s="17" t="s">
        <v>233</v>
      </c>
      <c r="K413" s="17">
        <v>11</v>
      </c>
      <c r="L413" s="17">
        <v>5355.07</v>
      </c>
    </row>
    <row r="414" spans="1:12" x14ac:dyDescent="0.25">
      <c r="A414" s="5" t="s">
        <v>268</v>
      </c>
      <c r="B414" s="6">
        <v>10100</v>
      </c>
      <c r="C414" s="6" t="s">
        <v>5</v>
      </c>
      <c r="D414" s="6">
        <v>1</v>
      </c>
      <c r="E414" s="6" t="s">
        <v>3</v>
      </c>
      <c r="F414" s="6">
        <v>12</v>
      </c>
      <c r="G414" s="5" t="s">
        <v>8</v>
      </c>
      <c r="H414" s="6" t="s">
        <v>206</v>
      </c>
      <c r="I414" s="6">
        <v>2022</v>
      </c>
      <c r="J414" s="6" t="s">
        <v>233</v>
      </c>
      <c r="K414" s="6">
        <v>11</v>
      </c>
      <c r="L414" s="46">
        <v>575000</v>
      </c>
    </row>
    <row r="415" spans="1:12" x14ac:dyDescent="0.25">
      <c r="A415" s="5" t="s">
        <v>268</v>
      </c>
      <c r="B415" s="17">
        <v>10100</v>
      </c>
      <c r="C415" s="17" t="s">
        <v>20</v>
      </c>
      <c r="D415" s="17">
        <v>2</v>
      </c>
      <c r="E415" s="17" t="s">
        <v>4</v>
      </c>
      <c r="F415" s="17">
        <v>21</v>
      </c>
      <c r="G415" s="16" t="s">
        <v>14</v>
      </c>
      <c r="H415" s="17" t="s">
        <v>207</v>
      </c>
      <c r="I415" s="17">
        <v>2022</v>
      </c>
      <c r="J415" s="17" t="s">
        <v>233</v>
      </c>
      <c r="K415" s="17">
        <v>11</v>
      </c>
      <c r="L415" s="47">
        <v>28011.18</v>
      </c>
    </row>
    <row r="416" spans="1:12" x14ac:dyDescent="0.25">
      <c r="A416" s="5" t="s">
        <v>268</v>
      </c>
      <c r="B416" s="6">
        <v>10100</v>
      </c>
      <c r="C416" s="6" t="s">
        <v>5</v>
      </c>
      <c r="D416" s="6">
        <v>1</v>
      </c>
      <c r="E416" s="6" t="s">
        <v>1</v>
      </c>
      <c r="F416" s="6">
        <v>11</v>
      </c>
      <c r="G416" s="5" t="s">
        <v>6</v>
      </c>
      <c r="H416" s="6" t="s">
        <v>199</v>
      </c>
      <c r="I416" s="6">
        <v>2022</v>
      </c>
      <c r="J416" s="6" t="s">
        <v>234</v>
      </c>
      <c r="K416" s="6">
        <v>12</v>
      </c>
      <c r="L416" s="46">
        <v>206685.05</v>
      </c>
    </row>
    <row r="417" spans="1:12" x14ac:dyDescent="0.25">
      <c r="A417" s="5" t="s">
        <v>268</v>
      </c>
      <c r="B417" s="17">
        <v>10100</v>
      </c>
      <c r="C417" s="17" t="s">
        <v>5</v>
      </c>
      <c r="D417" s="17">
        <v>1</v>
      </c>
      <c r="E417" s="17" t="s">
        <v>1</v>
      </c>
      <c r="F417" s="17">
        <v>11</v>
      </c>
      <c r="G417" s="16" t="s">
        <v>9</v>
      </c>
      <c r="H417" s="17" t="s">
        <v>200</v>
      </c>
      <c r="I417" s="17">
        <v>2022</v>
      </c>
      <c r="J417" s="17" t="s">
        <v>234</v>
      </c>
      <c r="K417" s="17">
        <v>12</v>
      </c>
      <c r="L417" s="47">
        <v>4544.1000000000004</v>
      </c>
    </row>
    <row r="418" spans="1:12" x14ac:dyDescent="0.25">
      <c r="A418" s="5" t="s">
        <v>268</v>
      </c>
      <c r="B418" s="6">
        <v>10100</v>
      </c>
      <c r="C418" s="6" t="s">
        <v>5</v>
      </c>
      <c r="D418" s="6">
        <v>1</v>
      </c>
      <c r="E418" s="6" t="s">
        <v>1</v>
      </c>
      <c r="F418" s="6">
        <v>11</v>
      </c>
      <c r="G418" s="5" t="s">
        <v>7</v>
      </c>
      <c r="H418" s="6" t="s">
        <v>201</v>
      </c>
      <c r="I418" s="6">
        <v>2022</v>
      </c>
      <c r="J418" s="6" t="s">
        <v>234</v>
      </c>
      <c r="K418" s="6">
        <v>12</v>
      </c>
      <c r="L418" s="46">
        <v>5618.62</v>
      </c>
    </row>
    <row r="419" spans="1:12" x14ac:dyDescent="0.25">
      <c r="A419" s="5" t="s">
        <v>268</v>
      </c>
      <c r="B419" s="17">
        <v>10100</v>
      </c>
      <c r="C419" s="17" t="s">
        <v>5</v>
      </c>
      <c r="D419" s="17">
        <v>1</v>
      </c>
      <c r="E419" s="17" t="s">
        <v>1</v>
      </c>
      <c r="F419" s="17">
        <v>11</v>
      </c>
      <c r="G419" s="16" t="s">
        <v>10</v>
      </c>
      <c r="H419" s="17" t="s">
        <v>199</v>
      </c>
      <c r="I419" s="17">
        <v>2022</v>
      </c>
      <c r="J419" s="17" t="s">
        <v>234</v>
      </c>
      <c r="K419" s="17">
        <v>12</v>
      </c>
      <c r="L419" s="47">
        <v>2046.41</v>
      </c>
    </row>
    <row r="420" spans="1:12" x14ac:dyDescent="0.25">
      <c r="A420" s="5" t="s">
        <v>268</v>
      </c>
      <c r="B420" s="6">
        <v>10100</v>
      </c>
      <c r="C420" s="6" t="s">
        <v>5</v>
      </c>
      <c r="D420" s="6">
        <v>1</v>
      </c>
      <c r="E420" s="6" t="s">
        <v>1</v>
      </c>
      <c r="F420" s="6">
        <v>11</v>
      </c>
      <c r="G420" s="5" t="s">
        <v>11</v>
      </c>
      <c r="H420" s="6" t="s">
        <v>202</v>
      </c>
      <c r="I420" s="6">
        <v>2022</v>
      </c>
      <c r="J420" s="6" t="s">
        <v>234</v>
      </c>
      <c r="K420" s="6">
        <v>12</v>
      </c>
      <c r="L420" s="46">
        <v>6195.03</v>
      </c>
    </row>
    <row r="421" spans="1:12" x14ac:dyDescent="0.25">
      <c r="A421" s="5" t="s">
        <v>268</v>
      </c>
      <c r="B421" s="17">
        <v>10100</v>
      </c>
      <c r="C421" s="17" t="s">
        <v>5</v>
      </c>
      <c r="D421" s="17">
        <v>1</v>
      </c>
      <c r="E421" s="17" t="s">
        <v>1</v>
      </c>
      <c r="F421" s="17">
        <v>11</v>
      </c>
      <c r="G421" s="16" t="s">
        <v>18</v>
      </c>
      <c r="H421" s="17" t="s">
        <v>203</v>
      </c>
      <c r="I421" s="17">
        <v>2022</v>
      </c>
      <c r="J421" s="17" t="s">
        <v>234</v>
      </c>
      <c r="K421" s="17">
        <v>12</v>
      </c>
      <c r="L421" s="47">
        <v>586.65</v>
      </c>
    </row>
    <row r="422" spans="1:12" x14ac:dyDescent="0.25">
      <c r="A422" s="5" t="s">
        <v>268</v>
      </c>
      <c r="B422" s="6">
        <v>10100</v>
      </c>
      <c r="C422" s="6" t="s">
        <v>20</v>
      </c>
      <c r="D422" s="6">
        <v>2</v>
      </c>
      <c r="E422" s="6" t="s">
        <v>4</v>
      </c>
      <c r="F422" s="6">
        <v>21</v>
      </c>
      <c r="G422" s="5" t="s">
        <v>13</v>
      </c>
      <c r="H422" s="6" t="s">
        <v>204</v>
      </c>
      <c r="I422" s="6">
        <v>2022</v>
      </c>
      <c r="J422" s="6" t="s">
        <v>234</v>
      </c>
      <c r="K422" s="6">
        <v>12</v>
      </c>
      <c r="L422" s="46">
        <v>684255.18</v>
      </c>
    </row>
    <row r="423" spans="1:12" x14ac:dyDescent="0.25">
      <c r="A423" s="5" t="s">
        <v>268</v>
      </c>
      <c r="B423" s="17">
        <v>10100</v>
      </c>
      <c r="C423" s="17" t="s">
        <v>5</v>
      </c>
      <c r="D423" s="17">
        <v>1</v>
      </c>
      <c r="E423" s="17" t="s">
        <v>1</v>
      </c>
      <c r="F423" s="17">
        <v>11</v>
      </c>
      <c r="G423" s="16" t="s">
        <v>6</v>
      </c>
      <c r="H423" s="17" t="s">
        <v>199</v>
      </c>
      <c r="I423" s="17">
        <v>2022</v>
      </c>
      <c r="J423" s="17" t="s">
        <v>234</v>
      </c>
      <c r="K423" s="17">
        <v>12</v>
      </c>
      <c r="L423" s="47">
        <v>216041.48</v>
      </c>
    </row>
    <row r="424" spans="1:12" x14ac:dyDescent="0.25">
      <c r="A424" s="5" t="s">
        <v>268</v>
      </c>
      <c r="B424" s="6">
        <v>10100</v>
      </c>
      <c r="C424" s="6" t="s">
        <v>5</v>
      </c>
      <c r="D424" s="6">
        <v>1</v>
      </c>
      <c r="E424" s="6" t="s">
        <v>1</v>
      </c>
      <c r="F424" s="6">
        <v>11</v>
      </c>
      <c r="G424" s="5" t="s">
        <v>9</v>
      </c>
      <c r="H424" s="6" t="s">
        <v>200</v>
      </c>
      <c r="I424" s="6">
        <v>2022</v>
      </c>
      <c r="J424" s="6" t="s">
        <v>234</v>
      </c>
      <c r="K424" s="6">
        <v>12</v>
      </c>
      <c r="L424" s="46">
        <v>10902.03</v>
      </c>
    </row>
    <row r="425" spans="1:12" x14ac:dyDescent="0.25">
      <c r="A425" s="5" t="s">
        <v>268</v>
      </c>
      <c r="B425" s="17">
        <v>10100</v>
      </c>
      <c r="C425" s="17" t="s">
        <v>5</v>
      </c>
      <c r="D425" s="17">
        <v>1</v>
      </c>
      <c r="E425" s="17" t="s">
        <v>1</v>
      </c>
      <c r="F425" s="17">
        <v>11</v>
      </c>
      <c r="G425" s="16" t="s">
        <v>7</v>
      </c>
      <c r="H425" s="17" t="s">
        <v>201</v>
      </c>
      <c r="I425" s="17">
        <v>2022</v>
      </c>
      <c r="J425" s="17" t="s">
        <v>234</v>
      </c>
      <c r="K425" s="17">
        <v>12</v>
      </c>
      <c r="L425" s="47">
        <v>16535.05</v>
      </c>
    </row>
    <row r="426" spans="1:12" x14ac:dyDescent="0.25">
      <c r="A426" s="5" t="s">
        <v>268</v>
      </c>
      <c r="B426" s="6">
        <v>10100</v>
      </c>
      <c r="C426" s="6" t="s">
        <v>5</v>
      </c>
      <c r="D426" s="6">
        <v>1</v>
      </c>
      <c r="E426" s="6" t="s">
        <v>1</v>
      </c>
      <c r="F426" s="6">
        <v>11</v>
      </c>
      <c r="G426" s="5" t="s">
        <v>10</v>
      </c>
      <c r="H426" s="6" t="s">
        <v>199</v>
      </c>
      <c r="I426" s="6">
        <v>2022</v>
      </c>
      <c r="J426" s="6" t="s">
        <v>234</v>
      </c>
      <c r="K426" s="6">
        <v>12</v>
      </c>
      <c r="L426" s="50">
        <v>11991.04</v>
      </c>
    </row>
    <row r="427" spans="1:12" x14ac:dyDescent="0.25">
      <c r="A427" s="5" t="s">
        <v>268</v>
      </c>
      <c r="B427" s="17">
        <v>10100</v>
      </c>
      <c r="C427" s="17" t="s">
        <v>5</v>
      </c>
      <c r="D427" s="17">
        <v>1</v>
      </c>
      <c r="E427" s="17" t="s">
        <v>1</v>
      </c>
      <c r="F427" s="17">
        <v>11</v>
      </c>
      <c r="G427" s="16" t="s">
        <v>11</v>
      </c>
      <c r="H427" s="17" t="s">
        <v>202</v>
      </c>
      <c r="I427" s="17">
        <v>2022</v>
      </c>
      <c r="J427" s="17" t="s">
        <v>234</v>
      </c>
      <c r="K427" s="17">
        <v>12</v>
      </c>
      <c r="L427" s="17">
        <v>28792.02</v>
      </c>
    </row>
    <row r="428" spans="1:12" x14ac:dyDescent="0.25">
      <c r="A428" s="5" t="s">
        <v>268</v>
      </c>
      <c r="B428" s="6">
        <v>10100</v>
      </c>
      <c r="C428" s="6" t="s">
        <v>5</v>
      </c>
      <c r="D428" s="6">
        <v>1</v>
      </c>
      <c r="E428" s="6" t="s">
        <v>1</v>
      </c>
      <c r="F428" s="6">
        <v>11</v>
      </c>
      <c r="G428" s="5" t="s">
        <v>12</v>
      </c>
      <c r="H428" s="6" t="s">
        <v>205</v>
      </c>
      <c r="I428" s="6">
        <v>2022</v>
      </c>
      <c r="J428" s="6" t="s">
        <v>234</v>
      </c>
      <c r="K428" s="6">
        <v>12</v>
      </c>
      <c r="L428" s="46">
        <v>23470.560000000001</v>
      </c>
    </row>
    <row r="429" spans="1:12" x14ac:dyDescent="0.25">
      <c r="A429" s="5" t="s">
        <v>268</v>
      </c>
      <c r="B429" s="17">
        <v>10100</v>
      </c>
      <c r="C429" s="17" t="s">
        <v>5</v>
      </c>
      <c r="D429" s="17">
        <v>1</v>
      </c>
      <c r="E429" s="17" t="s">
        <v>1</v>
      </c>
      <c r="F429" s="17">
        <v>11</v>
      </c>
      <c r="G429" s="16" t="s">
        <v>18</v>
      </c>
      <c r="H429" s="17" t="s">
        <v>203</v>
      </c>
      <c r="I429" s="17">
        <v>2022</v>
      </c>
      <c r="J429" s="17" t="s">
        <v>234</v>
      </c>
      <c r="K429" s="17">
        <v>12</v>
      </c>
      <c r="L429" s="47">
        <v>5100.07</v>
      </c>
    </row>
    <row r="430" spans="1:12" x14ac:dyDescent="0.25">
      <c r="A430" s="5" t="s">
        <v>268</v>
      </c>
      <c r="B430" s="6">
        <v>10100</v>
      </c>
      <c r="C430" s="6" t="s">
        <v>5</v>
      </c>
      <c r="D430" s="6">
        <v>1</v>
      </c>
      <c r="E430" s="6" t="s">
        <v>3</v>
      </c>
      <c r="F430" s="6">
        <v>12</v>
      </c>
      <c r="G430" s="5" t="s">
        <v>8</v>
      </c>
      <c r="H430" s="6" t="s">
        <v>206</v>
      </c>
      <c r="I430" s="6">
        <v>2022</v>
      </c>
      <c r="J430" s="6" t="s">
        <v>234</v>
      </c>
      <c r="K430" s="6">
        <v>12</v>
      </c>
      <c r="L430" s="46">
        <v>230000</v>
      </c>
    </row>
    <row r="431" spans="1:12" x14ac:dyDescent="0.25">
      <c r="A431" s="5" t="s">
        <v>268</v>
      </c>
      <c r="B431" s="17">
        <v>10100</v>
      </c>
      <c r="C431" s="17" t="s">
        <v>20</v>
      </c>
      <c r="D431" s="17">
        <v>2</v>
      </c>
      <c r="E431" s="17" t="s">
        <v>4</v>
      </c>
      <c r="F431" s="17">
        <v>21</v>
      </c>
      <c r="G431" s="16" t="s">
        <v>14</v>
      </c>
      <c r="H431" s="17" t="s">
        <v>207</v>
      </c>
      <c r="I431" s="17">
        <v>2022</v>
      </c>
      <c r="J431" s="17" t="s">
        <v>234</v>
      </c>
      <c r="K431" s="17">
        <v>12</v>
      </c>
      <c r="L431" s="47">
        <v>26677.32</v>
      </c>
    </row>
    <row r="432" spans="1:12" x14ac:dyDescent="0.25">
      <c r="A432" s="5" t="s">
        <v>268</v>
      </c>
      <c r="B432" s="6">
        <v>10112</v>
      </c>
      <c r="C432" s="6" t="s">
        <v>20</v>
      </c>
      <c r="D432" s="6">
        <v>2</v>
      </c>
      <c r="E432" s="6" t="s">
        <v>4</v>
      </c>
      <c r="F432" s="6">
        <v>21</v>
      </c>
      <c r="G432" s="5" t="s">
        <v>13</v>
      </c>
      <c r="H432" s="6">
        <v>211</v>
      </c>
      <c r="I432" s="6">
        <v>2023</v>
      </c>
      <c r="J432" s="6" t="s">
        <v>179</v>
      </c>
      <c r="K432" s="6">
        <v>1</v>
      </c>
      <c r="L432" s="46">
        <v>433346.59</v>
      </c>
    </row>
    <row r="433" spans="1:12" x14ac:dyDescent="0.25">
      <c r="A433" s="5" t="s">
        <v>268</v>
      </c>
      <c r="B433" s="6">
        <v>10100</v>
      </c>
      <c r="C433" s="6" t="s">
        <v>5</v>
      </c>
      <c r="D433" s="6">
        <v>1</v>
      </c>
      <c r="E433" s="6" t="s">
        <v>1</v>
      </c>
      <c r="F433" s="6">
        <v>11</v>
      </c>
      <c r="G433" s="5" t="s">
        <v>6</v>
      </c>
      <c r="H433" s="6" t="s">
        <v>199</v>
      </c>
      <c r="I433" s="6">
        <v>2023</v>
      </c>
      <c r="J433" s="6" t="s">
        <v>180</v>
      </c>
      <c r="K433" s="6">
        <v>2</v>
      </c>
      <c r="L433" s="46">
        <v>183209.97</v>
      </c>
    </row>
    <row r="434" spans="1:12" x14ac:dyDescent="0.25">
      <c r="A434" s="5" t="s">
        <v>268</v>
      </c>
      <c r="B434" s="17">
        <v>10100</v>
      </c>
      <c r="C434" s="17" t="s">
        <v>5</v>
      </c>
      <c r="D434" s="17">
        <v>1</v>
      </c>
      <c r="E434" s="17" t="s">
        <v>1</v>
      </c>
      <c r="F434" s="17">
        <v>11</v>
      </c>
      <c r="G434" s="16" t="s">
        <v>9</v>
      </c>
      <c r="H434" s="17" t="s">
        <v>200</v>
      </c>
      <c r="I434" s="17">
        <v>2023</v>
      </c>
      <c r="J434" s="17" t="s">
        <v>180</v>
      </c>
      <c r="K434" s="17">
        <v>2</v>
      </c>
      <c r="L434" s="47">
        <v>10580.78</v>
      </c>
    </row>
    <row r="435" spans="1:12" x14ac:dyDescent="0.25">
      <c r="A435" s="5" t="s">
        <v>268</v>
      </c>
      <c r="B435" s="6">
        <v>10100</v>
      </c>
      <c r="C435" s="6" t="s">
        <v>5</v>
      </c>
      <c r="D435" s="6">
        <v>1</v>
      </c>
      <c r="E435" s="6" t="s">
        <v>1</v>
      </c>
      <c r="F435" s="6">
        <v>11</v>
      </c>
      <c r="G435" s="5" t="s">
        <v>7</v>
      </c>
      <c r="H435" s="6" t="s">
        <v>201</v>
      </c>
      <c r="I435" s="6">
        <v>2023</v>
      </c>
      <c r="J435" s="6" t="s">
        <v>180</v>
      </c>
      <c r="K435" s="6">
        <v>2</v>
      </c>
      <c r="L435" s="50">
        <v>17006.740000000002</v>
      </c>
    </row>
    <row r="436" spans="1:12" x14ac:dyDescent="0.25">
      <c r="A436" s="5" t="s">
        <v>268</v>
      </c>
      <c r="B436" s="17">
        <v>10100</v>
      </c>
      <c r="C436" s="17" t="s">
        <v>5</v>
      </c>
      <c r="D436" s="17">
        <v>1</v>
      </c>
      <c r="E436" s="17" t="s">
        <v>1</v>
      </c>
      <c r="F436" s="17">
        <v>11</v>
      </c>
      <c r="G436" s="16" t="s">
        <v>10</v>
      </c>
      <c r="H436" s="17" t="s">
        <v>199</v>
      </c>
      <c r="I436" s="17">
        <v>2023</v>
      </c>
      <c r="J436" s="17" t="s">
        <v>180</v>
      </c>
      <c r="K436" s="17">
        <v>2</v>
      </c>
      <c r="L436" s="17">
        <v>6530</v>
      </c>
    </row>
    <row r="437" spans="1:12" x14ac:dyDescent="0.25">
      <c r="A437" s="5" t="s">
        <v>268</v>
      </c>
      <c r="B437" s="6">
        <v>10100</v>
      </c>
      <c r="C437" s="6" t="s">
        <v>5</v>
      </c>
      <c r="D437" s="6">
        <v>1</v>
      </c>
      <c r="E437" s="6" t="s">
        <v>1</v>
      </c>
      <c r="F437" s="6">
        <v>11</v>
      </c>
      <c r="G437" s="5" t="s">
        <v>11</v>
      </c>
      <c r="H437" s="6" t="s">
        <v>202</v>
      </c>
      <c r="I437" s="6">
        <v>2023</v>
      </c>
      <c r="J437" s="6" t="s">
        <v>180</v>
      </c>
      <c r="K437" s="6">
        <v>2</v>
      </c>
      <c r="L437" s="46">
        <v>26119.4</v>
      </c>
    </row>
    <row r="438" spans="1:12" x14ac:dyDescent="0.25">
      <c r="A438" s="5" t="s">
        <v>268</v>
      </c>
      <c r="B438" s="17">
        <v>10100</v>
      </c>
      <c r="C438" s="17" t="s">
        <v>5</v>
      </c>
      <c r="D438" s="17">
        <v>1</v>
      </c>
      <c r="E438" s="17" t="s">
        <v>1</v>
      </c>
      <c r="F438" s="17">
        <v>11</v>
      </c>
      <c r="G438" s="16" t="s">
        <v>12</v>
      </c>
      <c r="H438" s="17" t="s">
        <v>205</v>
      </c>
      <c r="I438" s="17">
        <v>2023</v>
      </c>
      <c r="J438" s="17" t="s">
        <v>180</v>
      </c>
      <c r="K438" s="17">
        <v>2</v>
      </c>
      <c r="L438" s="47">
        <v>22246.62</v>
      </c>
    </row>
    <row r="439" spans="1:12" x14ac:dyDescent="0.25">
      <c r="A439" s="5" t="s">
        <v>268</v>
      </c>
      <c r="B439" s="6">
        <v>10100</v>
      </c>
      <c r="C439" s="6" t="s">
        <v>5</v>
      </c>
      <c r="D439" s="6">
        <v>1</v>
      </c>
      <c r="E439" s="6" t="s">
        <v>1</v>
      </c>
      <c r="F439" s="6">
        <v>11</v>
      </c>
      <c r="G439" s="5" t="s">
        <v>18</v>
      </c>
      <c r="H439" s="6" t="s">
        <v>203</v>
      </c>
      <c r="I439" s="6">
        <v>2023</v>
      </c>
      <c r="J439" s="6" t="s">
        <v>180</v>
      </c>
      <c r="K439" s="6">
        <v>2</v>
      </c>
      <c r="L439" s="46">
        <v>7074.73</v>
      </c>
    </row>
    <row r="440" spans="1:12" x14ac:dyDescent="0.25">
      <c r="A440" s="5" t="s">
        <v>268</v>
      </c>
      <c r="B440" s="17">
        <v>10100</v>
      </c>
      <c r="C440" s="17" t="s">
        <v>5</v>
      </c>
      <c r="D440" s="17">
        <v>1</v>
      </c>
      <c r="E440" s="17" t="s">
        <v>3</v>
      </c>
      <c r="F440" s="17">
        <v>12</v>
      </c>
      <c r="G440" s="16" t="s">
        <v>8</v>
      </c>
      <c r="H440" s="17" t="s">
        <v>206</v>
      </c>
      <c r="I440" s="17">
        <v>2023</v>
      </c>
      <c r="J440" s="17" t="s">
        <v>180</v>
      </c>
      <c r="K440" s="17">
        <v>2</v>
      </c>
      <c r="L440" s="47">
        <v>2789.56</v>
      </c>
    </row>
    <row r="441" spans="1:12" x14ac:dyDescent="0.25">
      <c r="A441" s="5" t="s">
        <v>268</v>
      </c>
      <c r="B441" s="6">
        <v>10100</v>
      </c>
      <c r="C441" s="6" t="s">
        <v>20</v>
      </c>
      <c r="D441" s="6">
        <v>2</v>
      </c>
      <c r="E441" s="6" t="s">
        <v>4</v>
      </c>
      <c r="F441" s="6">
        <v>21</v>
      </c>
      <c r="G441" s="5" t="s">
        <v>13</v>
      </c>
      <c r="H441" s="6" t="s">
        <v>204</v>
      </c>
      <c r="I441" s="6">
        <v>2023</v>
      </c>
      <c r="J441" s="6" t="s">
        <v>180</v>
      </c>
      <c r="K441" s="6">
        <v>2</v>
      </c>
      <c r="L441" s="46">
        <v>547404.14</v>
      </c>
    </row>
    <row r="442" spans="1:12" x14ac:dyDescent="0.25">
      <c r="A442" s="5" t="s">
        <v>268</v>
      </c>
      <c r="B442" s="17">
        <v>10100</v>
      </c>
      <c r="C442" s="17" t="s">
        <v>20</v>
      </c>
      <c r="D442" s="17">
        <v>2</v>
      </c>
      <c r="E442" s="17" t="s">
        <v>4</v>
      </c>
      <c r="F442" s="17">
        <v>21</v>
      </c>
      <c r="G442" s="16" t="s">
        <v>14</v>
      </c>
      <c r="H442" s="17" t="s">
        <v>207</v>
      </c>
      <c r="I442" s="17">
        <v>2023</v>
      </c>
      <c r="J442" s="17" t="s">
        <v>180</v>
      </c>
      <c r="K442" s="17">
        <v>2</v>
      </c>
      <c r="L442" s="47">
        <v>0</v>
      </c>
    </row>
    <row r="445" spans="1:12" x14ac:dyDescent="0.25">
      <c r="E445" s="55"/>
    </row>
    <row r="446" spans="1:12" x14ac:dyDescent="0.25">
      <c r="E446" s="55"/>
    </row>
    <row r="447" spans="1:12" x14ac:dyDescent="0.25">
      <c r="E447" s="55"/>
    </row>
  </sheetData>
  <pageMargins left="0.511811024" right="0.511811024" top="0.78740157499999996" bottom="0.78740157499999996" header="0.31496062000000002" footer="0.31496062000000002"/>
  <pageSetup paperSize="9" orientation="portrait" r:id="rId1"/>
  <ignoredErrors>
    <ignoredError sqref="H2:H44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AE254"/>
  <sheetViews>
    <sheetView zoomScale="130" zoomScaleNormal="130" workbookViewId="0">
      <pane xSplit="1" ySplit="1" topLeftCell="X247" activePane="bottomRight" state="frozen"/>
      <selection pane="topRight" activeCell="B1" sqref="B1"/>
      <selection pane="bottomLeft" activeCell="A2" sqref="A2"/>
      <selection pane="bottomRight" activeCell="X254" sqref="X254"/>
    </sheetView>
  </sheetViews>
  <sheetFormatPr defaultRowHeight="15" x14ac:dyDescent="0.25"/>
  <cols>
    <col min="1" max="1" width="15.7109375" customWidth="1"/>
    <col min="2" max="2" width="10" bestFit="1" customWidth="1"/>
    <col min="3" max="3" width="10" customWidth="1"/>
    <col min="4" max="4" width="15.7109375" bestFit="1" customWidth="1"/>
    <col min="5" max="5" width="10" customWidth="1"/>
    <col min="6" max="6" width="17" bestFit="1" customWidth="1"/>
    <col min="7" max="7" width="11.42578125" customWidth="1"/>
    <col min="8" max="8" width="17.85546875" bestFit="1" customWidth="1"/>
    <col min="9" max="9" width="24.28515625" bestFit="1" customWidth="1"/>
    <col min="10" max="11" width="15.140625" customWidth="1"/>
    <col min="12" max="12" width="14" customWidth="1"/>
    <col min="13" max="13" width="12.5703125" customWidth="1"/>
    <col min="14" max="14" width="17.140625" customWidth="1"/>
    <col min="15" max="15" width="13.140625" customWidth="1"/>
    <col min="16" max="16" width="15.42578125" customWidth="1"/>
    <col min="17" max="17" width="15.140625" customWidth="1"/>
    <col min="18" max="18" width="29.7109375" customWidth="1"/>
    <col min="19" max="19" width="18.42578125" customWidth="1"/>
    <col min="20" max="20" width="11" customWidth="1"/>
    <col min="21" max="21" width="10.140625" bestFit="1" customWidth="1"/>
    <col min="22" max="22" width="10.140625" customWidth="1"/>
    <col min="23" max="23" width="17.5703125" customWidth="1"/>
    <col min="24" max="24" width="19.28515625" bestFit="1" customWidth="1"/>
    <col min="25" max="25" width="15.28515625" customWidth="1"/>
    <col min="26" max="26" width="25.28515625" bestFit="1" customWidth="1"/>
    <col min="27" max="27" width="13.140625" customWidth="1"/>
    <col min="28" max="29" width="13.28515625" customWidth="1"/>
    <col min="30" max="30" width="12.85546875" customWidth="1"/>
    <col min="31" max="31" width="12.28515625" customWidth="1"/>
  </cols>
  <sheetData>
    <row r="1" spans="1:31" ht="28.5" customHeight="1" x14ac:dyDescent="0.25">
      <c r="A1" s="2" t="s">
        <v>0</v>
      </c>
      <c r="B1" s="2" t="s">
        <v>16</v>
      </c>
      <c r="C1" s="2" t="s">
        <v>196</v>
      </c>
      <c r="D1" s="2" t="s">
        <v>19</v>
      </c>
      <c r="E1" s="2" t="s">
        <v>197</v>
      </c>
      <c r="F1" s="2" t="s">
        <v>21</v>
      </c>
      <c r="G1" s="2" t="s">
        <v>198</v>
      </c>
      <c r="H1" s="2" t="s">
        <v>265</v>
      </c>
      <c r="I1" s="2" t="s">
        <v>143</v>
      </c>
      <c r="J1" s="2" t="s">
        <v>182</v>
      </c>
      <c r="K1" s="2" t="s">
        <v>237</v>
      </c>
      <c r="L1" s="2" t="s">
        <v>183</v>
      </c>
      <c r="M1" s="2" t="s">
        <v>186</v>
      </c>
      <c r="N1" s="2" t="s">
        <v>147</v>
      </c>
      <c r="O1" s="2" t="s">
        <v>176</v>
      </c>
      <c r="P1" s="2" t="s">
        <v>261</v>
      </c>
      <c r="Q1" s="2" t="s">
        <v>142</v>
      </c>
      <c r="R1" s="2" t="s">
        <v>171</v>
      </c>
      <c r="S1" s="2" t="s">
        <v>152</v>
      </c>
      <c r="T1" s="2" t="s">
        <v>227</v>
      </c>
      <c r="U1" s="2" t="s">
        <v>17</v>
      </c>
      <c r="V1" s="2" t="s">
        <v>235</v>
      </c>
      <c r="W1" s="2" t="s">
        <v>260</v>
      </c>
      <c r="X1" s="2" t="s">
        <v>210</v>
      </c>
      <c r="Y1" s="2" t="s">
        <v>172</v>
      </c>
      <c r="Z1" s="2" t="s">
        <v>214</v>
      </c>
      <c r="AA1" s="2" t="s">
        <v>173</v>
      </c>
      <c r="AB1" s="2" t="s">
        <v>187</v>
      </c>
      <c r="AC1" s="2" t="s">
        <v>263</v>
      </c>
      <c r="AD1" s="2" t="s">
        <v>178</v>
      </c>
      <c r="AE1" s="54" t="s">
        <v>264</v>
      </c>
    </row>
    <row r="2" spans="1:31" x14ac:dyDescent="0.25">
      <c r="A2" s="56" t="s">
        <v>266</v>
      </c>
      <c r="B2" s="57">
        <v>10113</v>
      </c>
      <c r="C2" s="57">
        <v>2</v>
      </c>
      <c r="D2" s="57" t="s">
        <v>4</v>
      </c>
      <c r="E2" s="57">
        <v>21</v>
      </c>
      <c r="F2" s="57" t="s">
        <v>13</v>
      </c>
      <c r="G2" s="57">
        <v>211</v>
      </c>
      <c r="H2" s="43" t="s">
        <v>153</v>
      </c>
      <c r="I2" s="58" t="s">
        <v>117</v>
      </c>
      <c r="J2" s="20">
        <v>43649</v>
      </c>
      <c r="K2" s="20"/>
      <c r="L2" s="39">
        <v>1587.87</v>
      </c>
      <c r="M2" s="43" t="s">
        <v>224</v>
      </c>
      <c r="N2" s="63">
        <v>408.01</v>
      </c>
      <c r="O2" s="64">
        <f t="shared" ref="O2:O25" si="0">IF(IFERROR((1-W2/(N2*P2)),0)&lt;0,0,IFERROR((1-W2/(N2*P2)),0))</f>
        <v>0.20845461205622473</v>
      </c>
      <c r="P2" s="43">
        <v>83</v>
      </c>
      <c r="Q2" s="43"/>
      <c r="R2" s="58" t="s">
        <v>162</v>
      </c>
      <c r="S2" s="65">
        <v>11055417000198</v>
      </c>
      <c r="T2" s="57">
        <v>2022</v>
      </c>
      <c r="U2" s="43" t="s">
        <v>179</v>
      </c>
      <c r="V2" s="43">
        <v>1</v>
      </c>
      <c r="W2" s="63">
        <v>26805.55</v>
      </c>
      <c r="X2" s="66" t="s">
        <v>211</v>
      </c>
      <c r="Y2" s="67"/>
      <c r="Z2" s="67"/>
      <c r="AA2" s="67"/>
      <c r="AB2" s="67" t="s">
        <v>174</v>
      </c>
      <c r="AC2" s="68">
        <v>7</v>
      </c>
      <c r="AD2" s="67"/>
      <c r="AE2" s="67" t="str">
        <f t="shared" ref="AE2:AE65" si="1">IF(AC2&lt;&gt;"-",IF(AC2&lt;=6,"Detrator",IF(AC2&gt;=9,"Promotor","Neutro")),"-")</f>
        <v>Neutro</v>
      </c>
    </row>
    <row r="3" spans="1:31" x14ac:dyDescent="0.25">
      <c r="A3" s="14" t="s">
        <v>266</v>
      </c>
      <c r="B3" s="12">
        <v>10113</v>
      </c>
      <c r="C3" s="12">
        <v>2</v>
      </c>
      <c r="D3" s="12" t="s">
        <v>4</v>
      </c>
      <c r="E3" s="12">
        <v>21</v>
      </c>
      <c r="F3" s="12" t="s">
        <v>13</v>
      </c>
      <c r="G3" s="12">
        <v>211</v>
      </c>
      <c r="H3" s="12" t="s">
        <v>141</v>
      </c>
      <c r="I3" s="14" t="s">
        <v>118</v>
      </c>
      <c r="J3" s="13">
        <v>43802</v>
      </c>
      <c r="K3" s="14"/>
      <c r="L3" s="28">
        <v>1416.99</v>
      </c>
      <c r="M3" s="12" t="s">
        <v>225</v>
      </c>
      <c r="N3" s="29">
        <v>909.54</v>
      </c>
      <c r="O3" s="3">
        <f t="shared" si="0"/>
        <v>0.20077181872155148</v>
      </c>
      <c r="P3" s="12">
        <v>59</v>
      </c>
      <c r="Q3" s="12"/>
      <c r="R3" s="14" t="s">
        <v>163</v>
      </c>
      <c r="S3" s="30">
        <v>11055417000184</v>
      </c>
      <c r="T3" s="12">
        <v>2022</v>
      </c>
      <c r="U3" s="26" t="s">
        <v>179</v>
      </c>
      <c r="V3" s="26">
        <v>1</v>
      </c>
      <c r="W3" s="29">
        <v>42888.87</v>
      </c>
      <c r="X3" s="4" t="s">
        <v>211</v>
      </c>
      <c r="Y3" s="12" t="s">
        <v>174</v>
      </c>
      <c r="Z3" s="12" t="s">
        <v>217</v>
      </c>
      <c r="AA3" s="31" t="s">
        <v>174</v>
      </c>
      <c r="AB3" s="12" t="s">
        <v>175</v>
      </c>
      <c r="AC3" s="52">
        <v>1</v>
      </c>
      <c r="AD3" s="31" t="s">
        <v>177</v>
      </c>
      <c r="AE3" s="31" t="str">
        <f t="shared" si="1"/>
        <v>Detrator</v>
      </c>
    </row>
    <row r="4" spans="1:31" x14ac:dyDescent="0.25">
      <c r="A4" s="16" t="s">
        <v>266</v>
      </c>
      <c r="B4" s="17">
        <v>10113</v>
      </c>
      <c r="C4" s="17">
        <v>2</v>
      </c>
      <c r="D4" s="17" t="s">
        <v>4</v>
      </c>
      <c r="E4" s="17">
        <v>21</v>
      </c>
      <c r="F4" s="17" t="s">
        <v>13</v>
      </c>
      <c r="G4" s="17">
        <v>211</v>
      </c>
      <c r="H4" s="23" t="s">
        <v>141</v>
      </c>
      <c r="I4" s="38" t="s">
        <v>119</v>
      </c>
      <c r="J4" s="20">
        <v>43376</v>
      </c>
      <c r="K4" s="20"/>
      <c r="L4" s="39">
        <v>1949.04</v>
      </c>
      <c r="M4" s="23" t="s">
        <v>225</v>
      </c>
      <c r="N4" s="40">
        <v>909.54</v>
      </c>
      <c r="O4" s="41">
        <f t="shared" si="0"/>
        <v>0.19837403522659802</v>
      </c>
      <c r="P4" s="43">
        <v>125</v>
      </c>
      <c r="Q4" s="23"/>
      <c r="R4" s="38" t="s">
        <v>164</v>
      </c>
      <c r="S4" s="42">
        <v>11055417000188</v>
      </c>
      <c r="T4" s="17">
        <v>2022</v>
      </c>
      <c r="U4" s="43" t="s">
        <v>179</v>
      </c>
      <c r="V4" s="43">
        <v>1</v>
      </c>
      <c r="W4" s="40">
        <v>91138.86</v>
      </c>
      <c r="X4" s="44" t="s">
        <v>222</v>
      </c>
      <c r="Y4" s="45"/>
      <c r="Z4" s="45"/>
      <c r="AA4" s="45"/>
      <c r="AB4" s="45" t="s">
        <v>174</v>
      </c>
      <c r="AC4" s="51">
        <v>7</v>
      </c>
      <c r="AD4" s="45" t="s">
        <v>177</v>
      </c>
      <c r="AE4" s="45" t="str">
        <f t="shared" si="1"/>
        <v>Neutro</v>
      </c>
    </row>
    <row r="5" spans="1:31" x14ac:dyDescent="0.25">
      <c r="A5" s="14" t="s">
        <v>266</v>
      </c>
      <c r="B5" s="12">
        <v>10113</v>
      </c>
      <c r="C5" s="12">
        <v>2</v>
      </c>
      <c r="D5" s="12" t="s">
        <v>4</v>
      </c>
      <c r="E5" s="12">
        <v>21</v>
      </c>
      <c r="F5" s="12" t="s">
        <v>13</v>
      </c>
      <c r="G5" s="12">
        <v>211</v>
      </c>
      <c r="H5" s="12" t="s">
        <v>153</v>
      </c>
      <c r="I5" s="14" t="s">
        <v>121</v>
      </c>
      <c r="J5" s="13">
        <v>43771</v>
      </c>
      <c r="K5" s="14"/>
      <c r="L5" s="28">
        <v>1587.16</v>
      </c>
      <c r="M5" s="12" t="s">
        <v>225</v>
      </c>
      <c r="N5" s="29">
        <v>909.54</v>
      </c>
      <c r="O5" s="3">
        <f t="shared" si="0"/>
        <v>0.20181240883670137</v>
      </c>
      <c r="P5" s="12">
        <v>192</v>
      </c>
      <c r="Q5" s="12"/>
      <c r="R5" s="14" t="s">
        <v>165</v>
      </c>
      <c r="S5" s="30">
        <v>11055417000202</v>
      </c>
      <c r="T5" s="12">
        <v>2022</v>
      </c>
      <c r="U5" s="26" t="s">
        <v>179</v>
      </c>
      <c r="V5" s="26">
        <v>1</v>
      </c>
      <c r="W5" s="29">
        <v>139388.84</v>
      </c>
      <c r="X5" s="4" t="s">
        <v>211</v>
      </c>
      <c r="Y5" s="12"/>
      <c r="Z5" s="12"/>
      <c r="AA5" s="12"/>
      <c r="AB5" s="31" t="s">
        <v>174</v>
      </c>
      <c r="AC5" s="52">
        <v>6</v>
      </c>
      <c r="AD5" s="31"/>
      <c r="AE5" s="31" t="str">
        <f t="shared" si="1"/>
        <v>Detrator</v>
      </c>
    </row>
    <row r="6" spans="1:31" x14ac:dyDescent="0.25">
      <c r="A6" s="16" t="s">
        <v>266</v>
      </c>
      <c r="B6" s="17">
        <v>10113</v>
      </c>
      <c r="C6" s="17">
        <v>2</v>
      </c>
      <c r="D6" s="17" t="s">
        <v>4</v>
      </c>
      <c r="E6" s="17">
        <v>21</v>
      </c>
      <c r="F6" s="17" t="s">
        <v>13</v>
      </c>
      <c r="G6" s="17">
        <v>211</v>
      </c>
      <c r="H6" s="23" t="s">
        <v>141</v>
      </c>
      <c r="I6" s="38" t="s">
        <v>122</v>
      </c>
      <c r="J6" s="20">
        <v>42795</v>
      </c>
      <c r="K6" s="24"/>
      <c r="L6" s="39">
        <v>1199</v>
      </c>
      <c r="M6" s="23" t="s">
        <v>226</v>
      </c>
      <c r="N6" s="40">
        <v>815.2</v>
      </c>
      <c r="O6" s="41">
        <f t="shared" si="0"/>
        <v>0</v>
      </c>
      <c r="P6" s="43" t="s">
        <v>2</v>
      </c>
      <c r="Q6" s="23" t="s">
        <v>145</v>
      </c>
      <c r="R6" s="38" t="s">
        <v>166</v>
      </c>
      <c r="S6" s="42">
        <v>11055417000195</v>
      </c>
      <c r="T6" s="17">
        <v>2022</v>
      </c>
      <c r="U6" s="23" t="s">
        <v>179</v>
      </c>
      <c r="V6" s="23">
        <v>1</v>
      </c>
      <c r="W6" s="40" t="s">
        <v>2</v>
      </c>
      <c r="X6" s="44"/>
      <c r="Y6" s="45" t="s">
        <v>174</v>
      </c>
      <c r="Z6" s="45" t="s">
        <v>217</v>
      </c>
      <c r="AA6" s="45" t="s">
        <v>175</v>
      </c>
      <c r="AB6" s="45" t="s">
        <v>175</v>
      </c>
      <c r="AC6" s="51">
        <v>5</v>
      </c>
      <c r="AD6" s="45" t="s">
        <v>177</v>
      </c>
      <c r="AE6" s="45" t="str">
        <f t="shared" si="1"/>
        <v>Detrator</v>
      </c>
    </row>
    <row r="7" spans="1:31" x14ac:dyDescent="0.25">
      <c r="A7" s="14" t="s">
        <v>266</v>
      </c>
      <c r="B7" s="12">
        <v>10113</v>
      </c>
      <c r="C7" s="12">
        <v>2</v>
      </c>
      <c r="D7" s="12" t="s">
        <v>4</v>
      </c>
      <c r="E7" s="12">
        <v>21</v>
      </c>
      <c r="F7" s="12" t="s">
        <v>13</v>
      </c>
      <c r="G7" s="12">
        <v>211</v>
      </c>
      <c r="H7" s="12" t="s">
        <v>153</v>
      </c>
      <c r="I7" s="14" t="s">
        <v>123</v>
      </c>
      <c r="J7" s="13">
        <v>43375</v>
      </c>
      <c r="K7" s="14"/>
      <c r="L7" s="28">
        <v>1144.5</v>
      </c>
      <c r="M7" s="12" t="s">
        <v>224</v>
      </c>
      <c r="N7" s="29">
        <v>408.01</v>
      </c>
      <c r="O7" s="3">
        <f t="shared" si="0"/>
        <v>0.3229164483630752</v>
      </c>
      <c r="P7" s="12">
        <v>621</v>
      </c>
      <c r="Q7" s="12"/>
      <c r="R7" s="14" t="s">
        <v>164</v>
      </c>
      <c r="S7" s="30">
        <v>11055417000188</v>
      </c>
      <c r="T7" s="12">
        <v>2022</v>
      </c>
      <c r="U7" s="26" t="s">
        <v>179</v>
      </c>
      <c r="V7" s="26">
        <v>1</v>
      </c>
      <c r="W7" s="29">
        <v>171555.51</v>
      </c>
      <c r="X7" s="4" t="s">
        <v>211</v>
      </c>
      <c r="Y7" s="12"/>
      <c r="Z7" s="12"/>
      <c r="AA7" s="12"/>
      <c r="AB7" s="31" t="s">
        <v>174</v>
      </c>
      <c r="AC7" s="52">
        <v>8</v>
      </c>
      <c r="AD7" s="31"/>
      <c r="AE7" s="31" t="str">
        <f t="shared" si="1"/>
        <v>Neutro</v>
      </c>
    </row>
    <row r="8" spans="1:31" x14ac:dyDescent="0.25">
      <c r="A8" s="16" t="s">
        <v>266</v>
      </c>
      <c r="B8" s="17">
        <v>10113</v>
      </c>
      <c r="C8" s="17">
        <v>2</v>
      </c>
      <c r="D8" s="17" t="s">
        <v>4</v>
      </c>
      <c r="E8" s="17">
        <v>21</v>
      </c>
      <c r="F8" s="17" t="s">
        <v>13</v>
      </c>
      <c r="G8" s="17">
        <v>211</v>
      </c>
      <c r="H8" s="23" t="s">
        <v>153</v>
      </c>
      <c r="I8" s="38" t="s">
        <v>129</v>
      </c>
      <c r="J8" s="20">
        <v>41732</v>
      </c>
      <c r="K8" s="20"/>
      <c r="L8" s="39">
        <v>1683.08</v>
      </c>
      <c r="M8" s="23" t="s">
        <v>224</v>
      </c>
      <c r="N8" s="40">
        <v>408.01</v>
      </c>
      <c r="O8" s="41">
        <f t="shared" si="0"/>
        <v>0.19553142204897933</v>
      </c>
      <c r="P8" s="23">
        <v>49</v>
      </c>
      <c r="Q8" s="23"/>
      <c r="R8" s="38" t="s">
        <v>163</v>
      </c>
      <c r="S8" s="42">
        <v>11055417000184</v>
      </c>
      <c r="T8" s="17">
        <v>2022</v>
      </c>
      <c r="U8" s="23" t="s">
        <v>179</v>
      </c>
      <c r="V8" s="23">
        <v>1</v>
      </c>
      <c r="W8" s="40">
        <v>16083.33</v>
      </c>
      <c r="X8" s="44" t="s">
        <v>211</v>
      </c>
      <c r="Y8" s="45" t="s">
        <v>174</v>
      </c>
      <c r="Z8" s="45" t="s">
        <v>217</v>
      </c>
      <c r="AA8" s="45" t="s">
        <v>174</v>
      </c>
      <c r="AB8" s="45" t="s">
        <v>175</v>
      </c>
      <c r="AC8" s="51">
        <v>5</v>
      </c>
      <c r="AD8" s="45"/>
      <c r="AE8" s="45" t="str">
        <f t="shared" si="1"/>
        <v>Detrator</v>
      </c>
    </row>
    <row r="9" spans="1:31" x14ac:dyDescent="0.25">
      <c r="A9" s="14" t="s">
        <v>266</v>
      </c>
      <c r="B9" s="12">
        <v>10113</v>
      </c>
      <c r="C9" s="12">
        <v>2</v>
      </c>
      <c r="D9" s="12" t="s">
        <v>4</v>
      </c>
      <c r="E9" s="12">
        <v>21</v>
      </c>
      <c r="F9" s="12" t="s">
        <v>13</v>
      </c>
      <c r="G9" s="12">
        <v>211</v>
      </c>
      <c r="H9" s="12" t="s">
        <v>141</v>
      </c>
      <c r="I9" s="14" t="s">
        <v>130</v>
      </c>
      <c r="J9" s="13">
        <v>42311</v>
      </c>
      <c r="K9" s="14"/>
      <c r="L9" s="28">
        <v>1828.18</v>
      </c>
      <c r="M9" s="12" t="s">
        <v>225</v>
      </c>
      <c r="N9" s="29">
        <v>909.54</v>
      </c>
      <c r="O9" s="3">
        <f t="shared" si="0"/>
        <v>0.20181239247573601</v>
      </c>
      <c r="P9" s="12">
        <v>672</v>
      </c>
      <c r="Q9" s="12"/>
      <c r="R9" s="14" t="s">
        <v>161</v>
      </c>
      <c r="S9" s="30">
        <v>11055417000197</v>
      </c>
      <c r="T9" s="12">
        <v>2022</v>
      </c>
      <c r="U9" s="26" t="s">
        <v>179</v>
      </c>
      <c r="V9" s="26">
        <v>1</v>
      </c>
      <c r="W9" s="29">
        <v>487860.95</v>
      </c>
      <c r="X9" s="4" t="s">
        <v>221</v>
      </c>
      <c r="Y9" s="12"/>
      <c r="Z9" s="12"/>
      <c r="AA9" s="12"/>
      <c r="AB9" s="31" t="s">
        <v>174</v>
      </c>
      <c r="AC9" s="52">
        <v>9</v>
      </c>
      <c r="AD9" s="31" t="s">
        <v>177</v>
      </c>
      <c r="AE9" s="31" t="str">
        <f t="shared" si="1"/>
        <v>Promotor</v>
      </c>
    </row>
    <row r="10" spans="1:31" x14ac:dyDescent="0.25">
      <c r="A10" s="5" t="s">
        <v>266</v>
      </c>
      <c r="B10" s="6">
        <v>10113</v>
      </c>
      <c r="C10" s="6">
        <v>2</v>
      </c>
      <c r="D10" s="6" t="s">
        <v>4</v>
      </c>
      <c r="E10" s="6">
        <v>21</v>
      </c>
      <c r="F10" s="6" t="s">
        <v>13</v>
      </c>
      <c r="G10" s="6">
        <v>211</v>
      </c>
      <c r="H10" s="12" t="s">
        <v>153</v>
      </c>
      <c r="I10" s="14" t="s">
        <v>132</v>
      </c>
      <c r="J10" s="9">
        <v>44289</v>
      </c>
      <c r="K10" s="27"/>
      <c r="L10" s="28">
        <v>2070.9899999999998</v>
      </c>
      <c r="M10" s="12" t="s">
        <v>225</v>
      </c>
      <c r="N10" s="29">
        <v>909.54</v>
      </c>
      <c r="O10" s="3">
        <f t="shared" si="0"/>
        <v>0.2014162423117819</v>
      </c>
      <c r="P10" s="12">
        <v>93</v>
      </c>
      <c r="Q10" s="12"/>
      <c r="R10" s="14" t="s">
        <v>163</v>
      </c>
      <c r="S10" s="30">
        <v>11055417000184</v>
      </c>
      <c r="T10" s="6">
        <v>2022</v>
      </c>
      <c r="U10" s="26" t="s">
        <v>180</v>
      </c>
      <c r="V10" s="26">
        <v>2</v>
      </c>
      <c r="W10" s="29">
        <v>67549.98</v>
      </c>
      <c r="X10" s="4" t="s">
        <v>211</v>
      </c>
      <c r="Y10" s="31" t="s">
        <v>174</v>
      </c>
      <c r="Z10" s="31" t="s">
        <v>218</v>
      </c>
      <c r="AA10" s="31" t="s">
        <v>175</v>
      </c>
      <c r="AB10" s="31" t="s">
        <v>175</v>
      </c>
      <c r="AC10" s="52">
        <v>4</v>
      </c>
      <c r="AD10" s="31"/>
      <c r="AE10" s="31" t="str">
        <f t="shared" si="1"/>
        <v>Detrator</v>
      </c>
    </row>
    <row r="11" spans="1:31" x14ac:dyDescent="0.25">
      <c r="A11" s="16" t="s">
        <v>266</v>
      </c>
      <c r="B11" s="17">
        <v>10113</v>
      </c>
      <c r="C11" s="17">
        <v>2</v>
      </c>
      <c r="D11" s="17" t="s">
        <v>4</v>
      </c>
      <c r="E11" s="17">
        <v>21</v>
      </c>
      <c r="F11" s="17" t="s">
        <v>13</v>
      </c>
      <c r="G11" s="17">
        <v>211</v>
      </c>
      <c r="H11" s="23" t="s">
        <v>153</v>
      </c>
      <c r="I11" s="38" t="s">
        <v>121</v>
      </c>
      <c r="J11" s="24">
        <v>43771</v>
      </c>
      <c r="K11" s="24"/>
      <c r="L11" s="39">
        <v>1587.16</v>
      </c>
      <c r="M11" s="23" t="s">
        <v>225</v>
      </c>
      <c r="N11" s="40">
        <v>909.54</v>
      </c>
      <c r="O11" s="41">
        <f t="shared" si="0"/>
        <v>0.20141624231178179</v>
      </c>
      <c r="P11" s="23">
        <v>62</v>
      </c>
      <c r="Q11" s="23"/>
      <c r="R11" s="38" t="s">
        <v>158</v>
      </c>
      <c r="S11" s="42">
        <v>11055417000203</v>
      </c>
      <c r="T11" s="17">
        <v>2022</v>
      </c>
      <c r="U11" s="43" t="s">
        <v>180</v>
      </c>
      <c r="V11" s="43">
        <v>2</v>
      </c>
      <c r="W11" s="40">
        <v>45033.32</v>
      </c>
      <c r="X11" s="44" t="s">
        <v>211</v>
      </c>
      <c r="Y11" s="45"/>
      <c r="Z11" s="45"/>
      <c r="AA11" s="45"/>
      <c r="AB11" s="45" t="s">
        <v>174</v>
      </c>
      <c r="AC11" s="51">
        <v>7</v>
      </c>
      <c r="AD11" s="45"/>
      <c r="AE11" s="45" t="str">
        <f t="shared" si="1"/>
        <v>Neutro</v>
      </c>
    </row>
    <row r="12" spans="1:31" x14ac:dyDescent="0.25">
      <c r="A12" s="5" t="s">
        <v>266</v>
      </c>
      <c r="B12" s="6">
        <v>10113</v>
      </c>
      <c r="C12" s="6">
        <v>2</v>
      </c>
      <c r="D12" s="6" t="s">
        <v>4</v>
      </c>
      <c r="E12" s="6">
        <v>21</v>
      </c>
      <c r="F12" s="6" t="s">
        <v>13</v>
      </c>
      <c r="G12" s="6">
        <v>211</v>
      </c>
      <c r="H12" s="12" t="s">
        <v>141</v>
      </c>
      <c r="I12" s="14" t="s">
        <v>122</v>
      </c>
      <c r="J12" s="13">
        <v>42795</v>
      </c>
      <c r="K12" s="27"/>
      <c r="L12" s="28">
        <v>1199</v>
      </c>
      <c r="M12" s="12" t="s">
        <v>226</v>
      </c>
      <c r="N12" s="29">
        <v>815.2</v>
      </c>
      <c r="O12" s="3">
        <f t="shared" si="0"/>
        <v>0</v>
      </c>
      <c r="P12" s="12" t="s">
        <v>2</v>
      </c>
      <c r="Q12" s="12" t="s">
        <v>145</v>
      </c>
      <c r="R12" s="14" t="s">
        <v>158</v>
      </c>
      <c r="S12" s="30">
        <v>11055417000203</v>
      </c>
      <c r="T12" s="6">
        <v>2022</v>
      </c>
      <c r="U12" s="26" t="s">
        <v>180</v>
      </c>
      <c r="V12" s="26">
        <v>2</v>
      </c>
      <c r="W12" s="29" t="s">
        <v>2</v>
      </c>
      <c r="X12" s="4"/>
      <c r="Y12" s="31"/>
      <c r="Z12" s="31"/>
      <c r="AA12" s="31"/>
      <c r="AB12" s="31" t="s">
        <v>174</v>
      </c>
      <c r="AC12" s="52">
        <v>8</v>
      </c>
      <c r="AD12" s="31" t="s">
        <v>177</v>
      </c>
      <c r="AE12" s="31" t="str">
        <f t="shared" si="1"/>
        <v>Neutro</v>
      </c>
    </row>
    <row r="13" spans="1:31" x14ac:dyDescent="0.25">
      <c r="A13" s="16" t="s">
        <v>266</v>
      </c>
      <c r="B13" s="17">
        <v>10113</v>
      </c>
      <c r="C13" s="17">
        <v>2</v>
      </c>
      <c r="D13" s="17" t="s">
        <v>4</v>
      </c>
      <c r="E13" s="17">
        <v>21</v>
      </c>
      <c r="F13" s="17" t="s">
        <v>13</v>
      </c>
      <c r="G13" s="17">
        <v>211</v>
      </c>
      <c r="H13" s="23" t="s">
        <v>141</v>
      </c>
      <c r="I13" s="38" t="s">
        <v>123</v>
      </c>
      <c r="J13" s="24">
        <v>43375</v>
      </c>
      <c r="K13" s="24"/>
      <c r="L13" s="39">
        <v>1144.5</v>
      </c>
      <c r="M13" s="23" t="s">
        <v>224</v>
      </c>
      <c r="N13" s="40">
        <v>408.01</v>
      </c>
      <c r="O13" s="41">
        <f t="shared" si="0"/>
        <v>0.24470981371753264</v>
      </c>
      <c r="P13" s="23">
        <v>274</v>
      </c>
      <c r="Q13" s="23"/>
      <c r="R13" s="38" t="s">
        <v>166</v>
      </c>
      <c r="S13" s="42">
        <v>11055417000195</v>
      </c>
      <c r="T13" s="17">
        <v>2022</v>
      </c>
      <c r="U13" s="43" t="s">
        <v>180</v>
      </c>
      <c r="V13" s="43">
        <v>2</v>
      </c>
      <c r="W13" s="40">
        <v>84437.47</v>
      </c>
      <c r="X13" s="44" t="s">
        <v>211</v>
      </c>
      <c r="Y13" s="45" t="s">
        <v>174</v>
      </c>
      <c r="Z13" s="45" t="s">
        <v>218</v>
      </c>
      <c r="AA13" s="45" t="s">
        <v>174</v>
      </c>
      <c r="AB13" s="45" t="s">
        <v>175</v>
      </c>
      <c r="AC13" s="51">
        <v>4</v>
      </c>
      <c r="AD13" s="45" t="s">
        <v>177</v>
      </c>
      <c r="AE13" s="45" t="str">
        <f t="shared" si="1"/>
        <v>Detrator</v>
      </c>
    </row>
    <row r="14" spans="1:31" x14ac:dyDescent="0.25">
      <c r="A14" s="5" t="s">
        <v>266</v>
      </c>
      <c r="B14" s="6">
        <v>10113</v>
      </c>
      <c r="C14" s="6">
        <v>2</v>
      </c>
      <c r="D14" s="6" t="s">
        <v>4</v>
      </c>
      <c r="E14" s="6">
        <v>21</v>
      </c>
      <c r="F14" s="6" t="s">
        <v>13</v>
      </c>
      <c r="G14" s="6">
        <v>211</v>
      </c>
      <c r="H14" s="12" t="s">
        <v>153</v>
      </c>
      <c r="I14" s="14" t="s">
        <v>129</v>
      </c>
      <c r="J14" s="13">
        <v>41732</v>
      </c>
      <c r="K14" s="27"/>
      <c r="L14" s="28">
        <v>1683.08</v>
      </c>
      <c r="M14" s="12" t="s">
        <v>224</v>
      </c>
      <c r="N14" s="29">
        <v>408.01</v>
      </c>
      <c r="O14" s="3">
        <f t="shared" si="0"/>
        <v>0.20404034214847666</v>
      </c>
      <c r="P14" s="12">
        <v>260</v>
      </c>
      <c r="Q14" s="12"/>
      <c r="R14" s="14" t="s">
        <v>166</v>
      </c>
      <c r="S14" s="30">
        <v>11055417000195</v>
      </c>
      <c r="T14" s="6">
        <v>2022</v>
      </c>
      <c r="U14" s="12" t="s">
        <v>180</v>
      </c>
      <c r="V14" s="12">
        <v>2</v>
      </c>
      <c r="W14" s="29">
        <v>84437.47</v>
      </c>
      <c r="X14" s="4" t="s">
        <v>211</v>
      </c>
      <c r="Y14" s="31"/>
      <c r="Z14" s="31"/>
      <c r="AA14" s="31"/>
      <c r="AB14" s="31" t="s">
        <v>174</v>
      </c>
      <c r="AC14" s="52">
        <v>9</v>
      </c>
      <c r="AD14" s="31"/>
      <c r="AE14" s="31" t="str">
        <f t="shared" si="1"/>
        <v>Promotor</v>
      </c>
    </row>
    <row r="15" spans="1:31" x14ac:dyDescent="0.25">
      <c r="A15" s="16" t="s">
        <v>266</v>
      </c>
      <c r="B15" s="17">
        <v>10113</v>
      </c>
      <c r="C15" s="17">
        <v>2</v>
      </c>
      <c r="D15" s="17" t="s">
        <v>4</v>
      </c>
      <c r="E15" s="17">
        <v>21</v>
      </c>
      <c r="F15" s="17" t="s">
        <v>13</v>
      </c>
      <c r="G15" s="17">
        <v>211</v>
      </c>
      <c r="H15" s="23" t="s">
        <v>141</v>
      </c>
      <c r="I15" s="38" t="s">
        <v>130</v>
      </c>
      <c r="J15" s="24">
        <v>42311</v>
      </c>
      <c r="K15" s="24"/>
      <c r="L15" s="39">
        <v>1828.18</v>
      </c>
      <c r="M15" s="23" t="s">
        <v>224</v>
      </c>
      <c r="N15" s="40">
        <v>408.01</v>
      </c>
      <c r="O15" s="41">
        <f t="shared" si="0"/>
        <v>0.19787020723956261</v>
      </c>
      <c r="P15" s="23">
        <v>86</v>
      </c>
      <c r="Q15" s="23"/>
      <c r="R15" s="38" t="s">
        <v>167</v>
      </c>
      <c r="S15" s="42">
        <v>11055417000187</v>
      </c>
      <c r="T15" s="17">
        <v>2022</v>
      </c>
      <c r="U15" s="43" t="s">
        <v>180</v>
      </c>
      <c r="V15" s="43">
        <v>2</v>
      </c>
      <c r="W15" s="40">
        <v>28145.82</v>
      </c>
      <c r="X15" s="44" t="s">
        <v>211</v>
      </c>
      <c r="Y15" s="45"/>
      <c r="Z15" s="45"/>
      <c r="AA15" s="45"/>
      <c r="AB15" s="45" t="s">
        <v>174</v>
      </c>
      <c r="AC15" s="51">
        <v>7</v>
      </c>
      <c r="AD15" s="45" t="s">
        <v>177</v>
      </c>
      <c r="AE15" s="45" t="str">
        <f t="shared" si="1"/>
        <v>Neutro</v>
      </c>
    </row>
    <row r="16" spans="1:31" x14ac:dyDescent="0.25">
      <c r="A16" s="5" t="s">
        <v>266</v>
      </c>
      <c r="B16" s="6">
        <v>10113</v>
      </c>
      <c r="C16" s="6">
        <v>2</v>
      </c>
      <c r="D16" s="6" t="s">
        <v>4</v>
      </c>
      <c r="E16" s="6">
        <v>21</v>
      </c>
      <c r="F16" s="6" t="s">
        <v>13</v>
      </c>
      <c r="G16" s="6">
        <v>211</v>
      </c>
      <c r="H16" s="12" t="s">
        <v>153</v>
      </c>
      <c r="I16" s="14" t="s">
        <v>121</v>
      </c>
      <c r="J16" s="13">
        <v>43771</v>
      </c>
      <c r="K16" s="27"/>
      <c r="L16" s="28">
        <v>1587.16</v>
      </c>
      <c r="M16" s="12" t="s">
        <v>225</v>
      </c>
      <c r="N16" s="29">
        <v>909.54</v>
      </c>
      <c r="O16" s="3">
        <f t="shared" si="0"/>
        <v>0.17479678372217444</v>
      </c>
      <c r="P16" s="12">
        <v>15</v>
      </c>
      <c r="Q16" s="12"/>
      <c r="R16" s="14" t="s">
        <v>168</v>
      </c>
      <c r="S16" s="30">
        <v>11055417000182</v>
      </c>
      <c r="T16" s="6">
        <v>2022</v>
      </c>
      <c r="U16" s="12" t="s">
        <v>180</v>
      </c>
      <c r="V16" s="12">
        <v>2</v>
      </c>
      <c r="W16" s="29">
        <v>11258.33</v>
      </c>
      <c r="X16" s="4" t="s">
        <v>211</v>
      </c>
      <c r="Y16" s="31" t="s">
        <v>174</v>
      </c>
      <c r="Z16" s="31" t="s">
        <v>218</v>
      </c>
      <c r="AA16" s="31" t="s">
        <v>174</v>
      </c>
      <c r="AB16" s="31" t="s">
        <v>175</v>
      </c>
      <c r="AC16" s="52">
        <v>2</v>
      </c>
      <c r="AD16" s="31"/>
      <c r="AE16" s="31" t="str">
        <f t="shared" si="1"/>
        <v>Detrator</v>
      </c>
    </row>
    <row r="17" spans="1:31" x14ac:dyDescent="0.25">
      <c r="A17" s="16" t="s">
        <v>266</v>
      </c>
      <c r="B17" s="17">
        <v>10113</v>
      </c>
      <c r="C17" s="17">
        <v>2</v>
      </c>
      <c r="D17" s="17" t="s">
        <v>4</v>
      </c>
      <c r="E17" s="17">
        <v>21</v>
      </c>
      <c r="F17" s="17" t="s">
        <v>13</v>
      </c>
      <c r="G17" s="17">
        <v>211</v>
      </c>
      <c r="H17" s="23" t="s">
        <v>141</v>
      </c>
      <c r="I17" s="38" t="s">
        <v>122</v>
      </c>
      <c r="J17" s="24">
        <v>42795</v>
      </c>
      <c r="K17" s="24"/>
      <c r="L17" s="39">
        <v>1199</v>
      </c>
      <c r="M17" s="23" t="s">
        <v>225</v>
      </c>
      <c r="N17" s="40">
        <v>909.54</v>
      </c>
      <c r="O17" s="41">
        <f t="shared" si="0"/>
        <v>0</v>
      </c>
      <c r="P17" s="23" t="s">
        <v>2</v>
      </c>
      <c r="Q17" s="23" t="s">
        <v>145</v>
      </c>
      <c r="R17" s="38" t="s">
        <v>168</v>
      </c>
      <c r="S17" s="42">
        <v>11055417000182</v>
      </c>
      <c r="T17" s="17">
        <v>2022</v>
      </c>
      <c r="U17" s="43" t="s">
        <v>180</v>
      </c>
      <c r="V17" s="43">
        <v>2</v>
      </c>
      <c r="W17" s="40" t="s">
        <v>2</v>
      </c>
      <c r="X17" s="44"/>
      <c r="Y17" s="45"/>
      <c r="Z17" s="45"/>
      <c r="AA17" s="45"/>
      <c r="AB17" s="45" t="s">
        <v>174</v>
      </c>
      <c r="AC17" s="51">
        <v>9</v>
      </c>
      <c r="AD17" s="45" t="s">
        <v>177</v>
      </c>
      <c r="AE17" s="45" t="str">
        <f t="shared" si="1"/>
        <v>Promotor</v>
      </c>
    </row>
    <row r="18" spans="1:31" x14ac:dyDescent="0.25">
      <c r="A18" s="5" t="s">
        <v>266</v>
      </c>
      <c r="B18" s="6">
        <v>10113</v>
      </c>
      <c r="C18" s="6">
        <v>2</v>
      </c>
      <c r="D18" s="6" t="s">
        <v>4</v>
      </c>
      <c r="E18" s="6">
        <v>21</v>
      </c>
      <c r="F18" s="6" t="s">
        <v>13</v>
      </c>
      <c r="G18" s="6">
        <v>211</v>
      </c>
      <c r="H18" s="12" t="s">
        <v>153</v>
      </c>
      <c r="I18" s="14" t="s">
        <v>123</v>
      </c>
      <c r="J18" s="13">
        <v>43375</v>
      </c>
      <c r="K18" s="27"/>
      <c r="L18" s="28">
        <v>1144.5</v>
      </c>
      <c r="M18" s="12" t="s">
        <v>225</v>
      </c>
      <c r="N18" s="29">
        <v>909.54</v>
      </c>
      <c r="O18" s="3">
        <f t="shared" si="0"/>
        <v>0.20141624231178179</v>
      </c>
      <c r="P18" s="12">
        <v>31</v>
      </c>
      <c r="Q18" s="12"/>
      <c r="R18" s="14" t="s">
        <v>164</v>
      </c>
      <c r="S18" s="30">
        <v>11055417000188</v>
      </c>
      <c r="T18" s="6">
        <v>2022</v>
      </c>
      <c r="U18" s="12" t="s">
        <v>180</v>
      </c>
      <c r="V18" s="12">
        <v>2</v>
      </c>
      <c r="W18" s="29">
        <v>22516.66</v>
      </c>
      <c r="X18" s="4" t="s">
        <v>211</v>
      </c>
      <c r="Y18" s="31"/>
      <c r="Z18" s="31"/>
      <c r="AA18" s="31"/>
      <c r="AB18" s="31" t="s">
        <v>174</v>
      </c>
      <c r="AC18" s="52">
        <v>8</v>
      </c>
      <c r="AD18" s="31"/>
      <c r="AE18" s="31" t="str">
        <f t="shared" si="1"/>
        <v>Neutro</v>
      </c>
    </row>
    <row r="19" spans="1:31" x14ac:dyDescent="0.25">
      <c r="A19" s="16" t="s">
        <v>266</v>
      </c>
      <c r="B19" s="17">
        <v>10113</v>
      </c>
      <c r="C19" s="17">
        <v>2</v>
      </c>
      <c r="D19" s="17" t="s">
        <v>4</v>
      </c>
      <c r="E19" s="17">
        <v>21</v>
      </c>
      <c r="F19" s="17" t="s">
        <v>13</v>
      </c>
      <c r="G19" s="17">
        <v>211</v>
      </c>
      <c r="H19" s="23" t="s">
        <v>141</v>
      </c>
      <c r="I19" s="38" t="s">
        <v>129</v>
      </c>
      <c r="J19" s="24">
        <v>41732</v>
      </c>
      <c r="K19" s="24"/>
      <c r="L19" s="39">
        <v>1683.08</v>
      </c>
      <c r="M19" s="23" t="s">
        <v>224</v>
      </c>
      <c r="N19" s="40">
        <v>408.01</v>
      </c>
      <c r="O19" s="41">
        <f t="shared" si="0"/>
        <v>0.20167841496291949</v>
      </c>
      <c r="P19" s="23">
        <v>674</v>
      </c>
      <c r="Q19" s="23"/>
      <c r="R19" s="38" t="s">
        <v>164</v>
      </c>
      <c r="S19" s="42">
        <v>11055417000188</v>
      </c>
      <c r="T19" s="17">
        <v>2022</v>
      </c>
      <c r="U19" s="43" t="s">
        <v>180</v>
      </c>
      <c r="V19" s="43">
        <v>2</v>
      </c>
      <c r="W19" s="40">
        <v>219537.43</v>
      </c>
      <c r="X19" s="44" t="s">
        <v>211</v>
      </c>
      <c r="Y19" s="45" t="s">
        <v>174</v>
      </c>
      <c r="Z19" s="45" t="s">
        <v>218</v>
      </c>
      <c r="AA19" s="45" t="s">
        <v>175</v>
      </c>
      <c r="AB19" s="45" t="s">
        <v>175</v>
      </c>
      <c r="AC19" s="51">
        <v>4</v>
      </c>
      <c r="AD19" s="45" t="s">
        <v>177</v>
      </c>
      <c r="AE19" s="45" t="str">
        <f t="shared" si="1"/>
        <v>Detrator</v>
      </c>
    </row>
    <row r="20" spans="1:31" x14ac:dyDescent="0.25">
      <c r="A20" s="16" t="s">
        <v>266</v>
      </c>
      <c r="B20" s="17">
        <v>10113</v>
      </c>
      <c r="C20" s="17">
        <v>2</v>
      </c>
      <c r="D20" s="17" t="s">
        <v>4</v>
      </c>
      <c r="E20" s="17">
        <v>21</v>
      </c>
      <c r="F20" s="17" t="s">
        <v>13</v>
      </c>
      <c r="G20" s="17">
        <v>211</v>
      </c>
      <c r="H20" s="23" t="s">
        <v>141</v>
      </c>
      <c r="I20" s="38" t="s">
        <v>130</v>
      </c>
      <c r="J20" s="24">
        <v>42311</v>
      </c>
      <c r="K20" s="20"/>
      <c r="L20" s="39">
        <v>1828.18</v>
      </c>
      <c r="M20" s="23" t="s">
        <v>225</v>
      </c>
      <c r="N20" s="40">
        <v>909.54</v>
      </c>
      <c r="O20" s="41">
        <f t="shared" si="0"/>
        <v>0</v>
      </c>
      <c r="P20" s="23" t="s">
        <v>2</v>
      </c>
      <c r="Q20" s="23" t="s">
        <v>145</v>
      </c>
      <c r="R20" s="38" t="s">
        <v>164</v>
      </c>
      <c r="S20" s="42">
        <v>11055417000188</v>
      </c>
      <c r="T20" s="17">
        <v>2022</v>
      </c>
      <c r="U20" s="23" t="s">
        <v>181</v>
      </c>
      <c r="V20" s="23">
        <v>3</v>
      </c>
      <c r="W20" s="40" t="s">
        <v>2</v>
      </c>
      <c r="X20" s="44"/>
      <c r="Y20" s="45"/>
      <c r="Z20" s="45"/>
      <c r="AA20" s="45"/>
      <c r="AB20" s="45" t="s">
        <v>174</v>
      </c>
      <c r="AC20" s="51">
        <v>9</v>
      </c>
      <c r="AD20" s="45" t="s">
        <v>177</v>
      </c>
      <c r="AE20" s="45" t="str">
        <f t="shared" si="1"/>
        <v>Promotor</v>
      </c>
    </row>
    <row r="21" spans="1:31" x14ac:dyDescent="0.25">
      <c r="A21" s="14" t="s">
        <v>266</v>
      </c>
      <c r="B21" s="12">
        <v>10113</v>
      </c>
      <c r="C21" s="12">
        <v>2</v>
      </c>
      <c r="D21" s="12" t="s">
        <v>4</v>
      </c>
      <c r="E21" s="12">
        <v>21</v>
      </c>
      <c r="F21" s="12" t="s">
        <v>13</v>
      </c>
      <c r="G21" s="12">
        <v>211</v>
      </c>
      <c r="H21" s="12" t="s">
        <v>153</v>
      </c>
      <c r="I21" s="14" t="s">
        <v>121</v>
      </c>
      <c r="J21" s="13">
        <v>43771</v>
      </c>
      <c r="K21" s="14"/>
      <c r="L21" s="28">
        <v>1587.16</v>
      </c>
      <c r="M21" s="12" t="s">
        <v>225</v>
      </c>
      <c r="N21" s="29">
        <v>909.54</v>
      </c>
      <c r="O21" s="3">
        <f t="shared" si="0"/>
        <v>0.20187210784804577</v>
      </c>
      <c r="P21" s="12">
        <v>251</v>
      </c>
      <c r="Q21" s="12"/>
      <c r="R21" s="14" t="s">
        <v>158</v>
      </c>
      <c r="S21" s="30">
        <v>11055417000203</v>
      </c>
      <c r="T21" s="12">
        <v>2022</v>
      </c>
      <c r="U21" s="26" t="s">
        <v>181</v>
      </c>
      <c r="V21" s="26">
        <v>3</v>
      </c>
      <c r="W21" s="29">
        <v>182208.24</v>
      </c>
      <c r="X21" s="4" t="s">
        <v>211</v>
      </c>
      <c r="Y21" s="12"/>
      <c r="Z21" s="12"/>
      <c r="AA21" s="12"/>
      <c r="AB21" s="31" t="s">
        <v>174</v>
      </c>
      <c r="AC21" s="52">
        <v>9</v>
      </c>
      <c r="AD21" s="11"/>
      <c r="AE21" s="12" t="str">
        <f t="shared" si="1"/>
        <v>Promotor</v>
      </c>
    </row>
    <row r="22" spans="1:31" x14ac:dyDescent="0.25">
      <c r="A22" s="16" t="s">
        <v>266</v>
      </c>
      <c r="B22" s="17">
        <v>10113</v>
      </c>
      <c r="C22" s="17">
        <v>2</v>
      </c>
      <c r="D22" s="17" t="s">
        <v>4</v>
      </c>
      <c r="E22" s="17">
        <v>21</v>
      </c>
      <c r="F22" s="17" t="s">
        <v>13</v>
      </c>
      <c r="G22" s="17">
        <v>211</v>
      </c>
      <c r="H22" s="23" t="s">
        <v>141</v>
      </c>
      <c r="I22" s="38" t="s">
        <v>122</v>
      </c>
      <c r="J22" s="24">
        <v>42795</v>
      </c>
      <c r="K22" s="20"/>
      <c r="L22" s="39">
        <v>1199</v>
      </c>
      <c r="M22" s="23" t="s">
        <v>225</v>
      </c>
      <c r="N22" s="40">
        <v>909.54</v>
      </c>
      <c r="O22" s="41">
        <f t="shared" si="0"/>
        <v>0.19912145120740465</v>
      </c>
      <c r="P22" s="23">
        <v>279</v>
      </c>
      <c r="Q22" s="23"/>
      <c r="R22" s="38" t="s">
        <v>158</v>
      </c>
      <c r="S22" s="42">
        <v>11055417000203</v>
      </c>
      <c r="T22" s="17">
        <v>2022</v>
      </c>
      <c r="U22" s="43" t="s">
        <v>181</v>
      </c>
      <c r="V22" s="43">
        <v>3</v>
      </c>
      <c r="W22" s="40">
        <v>203232.27</v>
      </c>
      <c r="X22" s="44" t="s">
        <v>220</v>
      </c>
      <c r="Y22" s="45" t="s">
        <v>174</v>
      </c>
      <c r="Z22" s="45" t="s">
        <v>218</v>
      </c>
      <c r="AA22" s="45" t="s">
        <v>174</v>
      </c>
      <c r="AB22" s="45" t="s">
        <v>175</v>
      </c>
      <c r="AC22" s="51">
        <v>1</v>
      </c>
      <c r="AD22" s="45" t="s">
        <v>177</v>
      </c>
      <c r="AE22" s="45" t="str">
        <f t="shared" si="1"/>
        <v>Detrator</v>
      </c>
    </row>
    <row r="23" spans="1:31" x14ac:dyDescent="0.25">
      <c r="A23" s="14" t="s">
        <v>266</v>
      </c>
      <c r="B23" s="12">
        <v>10113</v>
      </c>
      <c r="C23" s="12">
        <v>2</v>
      </c>
      <c r="D23" s="12" t="s">
        <v>4</v>
      </c>
      <c r="E23" s="12">
        <v>21</v>
      </c>
      <c r="F23" s="12" t="s">
        <v>13</v>
      </c>
      <c r="G23" s="12">
        <v>211</v>
      </c>
      <c r="H23" s="12" t="s">
        <v>153</v>
      </c>
      <c r="I23" s="14" t="s">
        <v>123</v>
      </c>
      <c r="J23" s="13">
        <v>43375</v>
      </c>
      <c r="K23" s="14"/>
      <c r="L23" s="28">
        <v>1144.5</v>
      </c>
      <c r="M23" s="12" t="s">
        <v>226</v>
      </c>
      <c r="N23" s="29">
        <v>815.2</v>
      </c>
      <c r="O23" s="3">
        <f t="shared" si="0"/>
        <v>0</v>
      </c>
      <c r="P23" s="12" t="s">
        <v>2</v>
      </c>
      <c r="Q23" s="12" t="s">
        <v>145</v>
      </c>
      <c r="R23" s="14" t="s">
        <v>167</v>
      </c>
      <c r="S23" s="30">
        <v>11055417000187</v>
      </c>
      <c r="T23" s="12">
        <v>2022</v>
      </c>
      <c r="U23" s="26" t="s">
        <v>181</v>
      </c>
      <c r="V23" s="26">
        <v>3</v>
      </c>
      <c r="W23" s="29" t="s">
        <v>2</v>
      </c>
      <c r="X23" s="4"/>
      <c r="Y23" s="12"/>
      <c r="Z23" s="12"/>
      <c r="AA23" s="12"/>
      <c r="AB23" s="31" t="s">
        <v>174</v>
      </c>
      <c r="AC23" s="52">
        <v>8</v>
      </c>
      <c r="AD23" s="11"/>
      <c r="AE23" s="12" t="str">
        <f t="shared" si="1"/>
        <v>Neutro</v>
      </c>
    </row>
    <row r="24" spans="1:31" x14ac:dyDescent="0.25">
      <c r="A24" s="16" t="s">
        <v>266</v>
      </c>
      <c r="B24" s="17">
        <v>10113</v>
      </c>
      <c r="C24" s="17">
        <v>2</v>
      </c>
      <c r="D24" s="17" t="s">
        <v>4</v>
      </c>
      <c r="E24" s="17">
        <v>21</v>
      </c>
      <c r="F24" s="17" t="s">
        <v>13</v>
      </c>
      <c r="G24" s="17">
        <v>211</v>
      </c>
      <c r="H24" s="23" t="s">
        <v>141</v>
      </c>
      <c r="I24" s="38" t="s">
        <v>129</v>
      </c>
      <c r="J24" s="24">
        <v>41732</v>
      </c>
      <c r="K24" s="20"/>
      <c r="L24" s="39">
        <v>1683.08</v>
      </c>
      <c r="M24" s="23" t="s">
        <v>224</v>
      </c>
      <c r="N24" s="40">
        <v>408.01</v>
      </c>
      <c r="O24" s="41">
        <f t="shared" si="0"/>
        <v>0.20199666501319913</v>
      </c>
      <c r="P24" s="23">
        <v>452</v>
      </c>
      <c r="Q24" s="23"/>
      <c r="R24" s="38" t="s">
        <v>169</v>
      </c>
      <c r="S24" s="42">
        <v>11055417000190</v>
      </c>
      <c r="T24" s="17">
        <v>2022</v>
      </c>
      <c r="U24" s="43" t="s">
        <v>181</v>
      </c>
      <c r="V24" s="43">
        <v>3</v>
      </c>
      <c r="W24" s="40">
        <v>147168.19</v>
      </c>
      <c r="X24" s="44" t="s">
        <v>222</v>
      </c>
      <c r="Y24" s="45"/>
      <c r="Z24" s="45"/>
      <c r="AA24" s="45"/>
      <c r="AB24" s="45" t="s">
        <v>174</v>
      </c>
      <c r="AC24" s="51">
        <v>7</v>
      </c>
      <c r="AD24" s="45" t="s">
        <v>177</v>
      </c>
      <c r="AE24" s="45" t="str">
        <f t="shared" si="1"/>
        <v>Neutro</v>
      </c>
    </row>
    <row r="25" spans="1:31" x14ac:dyDescent="0.25">
      <c r="A25" s="14" t="s">
        <v>266</v>
      </c>
      <c r="B25" s="12">
        <v>10113</v>
      </c>
      <c r="C25" s="12">
        <v>2</v>
      </c>
      <c r="D25" s="12" t="s">
        <v>4</v>
      </c>
      <c r="E25" s="12">
        <v>21</v>
      </c>
      <c r="F25" s="12" t="s">
        <v>13</v>
      </c>
      <c r="G25" s="12">
        <v>211</v>
      </c>
      <c r="H25" s="12" t="s">
        <v>153</v>
      </c>
      <c r="I25" s="14" t="s">
        <v>130</v>
      </c>
      <c r="J25" s="13">
        <v>42311</v>
      </c>
      <c r="K25" s="14"/>
      <c r="L25" s="28">
        <v>1828.18</v>
      </c>
      <c r="M25" s="12" t="s">
        <v>224</v>
      </c>
      <c r="N25" s="29">
        <v>408.01</v>
      </c>
      <c r="O25" s="3">
        <f t="shared" si="0"/>
        <v>0.20111292681874915</v>
      </c>
      <c r="P25" s="12">
        <v>516</v>
      </c>
      <c r="Q25" s="12"/>
      <c r="R25" s="14" t="s">
        <v>170</v>
      </c>
      <c r="S25" s="30">
        <v>11055417000199</v>
      </c>
      <c r="T25" s="12">
        <v>2022</v>
      </c>
      <c r="U25" s="26" t="s">
        <v>181</v>
      </c>
      <c r="V25" s="26">
        <v>3</v>
      </c>
      <c r="W25" s="29">
        <v>168192.22</v>
      </c>
      <c r="X25" s="4" t="s">
        <v>211</v>
      </c>
      <c r="Y25" s="31" t="s">
        <v>174</v>
      </c>
      <c r="Z25" s="31" t="s">
        <v>217</v>
      </c>
      <c r="AA25" s="31" t="s">
        <v>174</v>
      </c>
      <c r="AB25" s="31" t="s">
        <v>175</v>
      </c>
      <c r="AC25" s="52">
        <v>4</v>
      </c>
      <c r="AD25" s="11"/>
      <c r="AE25" s="12" t="str">
        <f t="shared" si="1"/>
        <v>Detrator</v>
      </c>
    </row>
    <row r="26" spans="1:31" x14ac:dyDescent="0.25">
      <c r="A26" s="5" t="s">
        <v>266</v>
      </c>
      <c r="B26" s="6">
        <v>10113</v>
      </c>
      <c r="C26" s="6">
        <v>2</v>
      </c>
      <c r="D26" s="6" t="s">
        <v>4</v>
      </c>
      <c r="E26" s="6">
        <v>21</v>
      </c>
      <c r="F26" s="6" t="s">
        <v>13</v>
      </c>
      <c r="G26" s="6">
        <v>211</v>
      </c>
      <c r="H26" s="12" t="s">
        <v>141</v>
      </c>
      <c r="I26" s="14" t="s">
        <v>130</v>
      </c>
      <c r="J26" s="13">
        <v>42311</v>
      </c>
      <c r="K26" s="27"/>
      <c r="L26" s="28">
        <v>1828.18</v>
      </c>
      <c r="M26" s="12" t="s">
        <v>225</v>
      </c>
      <c r="N26" s="29">
        <v>909.54</v>
      </c>
      <c r="O26" s="3">
        <v>0</v>
      </c>
      <c r="P26" s="12">
        <v>401</v>
      </c>
      <c r="Q26" s="12" t="s">
        <v>145</v>
      </c>
      <c r="R26" s="14" t="s">
        <v>164</v>
      </c>
      <c r="S26" s="30">
        <v>11055417000188</v>
      </c>
      <c r="T26" s="6">
        <v>2022</v>
      </c>
      <c r="U26" s="26" t="s">
        <v>208</v>
      </c>
      <c r="V26" s="26">
        <v>4</v>
      </c>
      <c r="W26" s="29">
        <v>291051.48</v>
      </c>
      <c r="X26" s="4" t="s">
        <v>211</v>
      </c>
      <c r="Y26" s="31"/>
      <c r="Z26" s="31"/>
      <c r="AA26" s="31"/>
      <c r="AB26" s="31" t="s">
        <v>174</v>
      </c>
      <c r="AC26" s="52">
        <v>9</v>
      </c>
      <c r="AD26" s="31" t="s">
        <v>177</v>
      </c>
      <c r="AE26" s="31" t="str">
        <f t="shared" si="1"/>
        <v>Promotor</v>
      </c>
    </row>
    <row r="27" spans="1:31" x14ac:dyDescent="0.25">
      <c r="A27" s="16" t="s">
        <v>266</v>
      </c>
      <c r="B27" s="17">
        <v>10113</v>
      </c>
      <c r="C27" s="17">
        <v>2</v>
      </c>
      <c r="D27" s="17" t="s">
        <v>4</v>
      </c>
      <c r="E27" s="17">
        <v>21</v>
      </c>
      <c r="F27" s="17" t="s">
        <v>13</v>
      </c>
      <c r="G27" s="17">
        <v>211</v>
      </c>
      <c r="H27" s="23" t="s">
        <v>153</v>
      </c>
      <c r="I27" s="38" t="s">
        <v>121</v>
      </c>
      <c r="J27" s="24">
        <v>43771</v>
      </c>
      <c r="K27" s="24"/>
      <c r="L27" s="39">
        <v>1587.16</v>
      </c>
      <c r="M27" s="23" t="s">
        <v>225</v>
      </c>
      <c r="N27" s="40">
        <v>909.54</v>
      </c>
      <c r="O27" s="41">
        <v>0</v>
      </c>
      <c r="P27" s="23">
        <v>38</v>
      </c>
      <c r="Q27" s="23"/>
      <c r="R27" s="38" t="s">
        <v>158</v>
      </c>
      <c r="S27" s="42">
        <v>11055417000203</v>
      </c>
      <c r="T27" s="17">
        <v>2022</v>
      </c>
      <c r="U27" s="43" t="s">
        <v>208</v>
      </c>
      <c r="V27" s="43">
        <v>4</v>
      </c>
      <c r="W27" s="40">
        <v>27286.07</v>
      </c>
      <c r="X27" s="44" t="s">
        <v>220</v>
      </c>
      <c r="Y27" s="45"/>
      <c r="Z27" s="45"/>
      <c r="AA27" s="45"/>
      <c r="AB27" s="45" t="s">
        <v>174</v>
      </c>
      <c r="AC27" s="51">
        <v>10</v>
      </c>
      <c r="AD27" s="45"/>
      <c r="AE27" s="45" t="str">
        <f t="shared" si="1"/>
        <v>Promotor</v>
      </c>
    </row>
    <row r="28" spans="1:31" x14ac:dyDescent="0.25">
      <c r="A28" s="5" t="s">
        <v>266</v>
      </c>
      <c r="B28" s="6">
        <v>10113</v>
      </c>
      <c r="C28" s="6">
        <v>2</v>
      </c>
      <c r="D28" s="6" t="s">
        <v>4</v>
      </c>
      <c r="E28" s="6">
        <v>21</v>
      </c>
      <c r="F28" s="6" t="s">
        <v>13</v>
      </c>
      <c r="G28" s="6">
        <v>211</v>
      </c>
      <c r="H28" s="12" t="s">
        <v>141</v>
      </c>
      <c r="I28" s="14" t="s">
        <v>122</v>
      </c>
      <c r="J28" s="13">
        <v>42795</v>
      </c>
      <c r="K28" s="27"/>
      <c r="L28" s="28">
        <v>1199</v>
      </c>
      <c r="M28" s="12" t="s">
        <v>225</v>
      </c>
      <c r="N28" s="29">
        <v>909.54</v>
      </c>
      <c r="O28" s="3">
        <v>0</v>
      </c>
      <c r="P28" s="12">
        <v>38</v>
      </c>
      <c r="Q28" s="12"/>
      <c r="R28" s="14" t="s">
        <v>158</v>
      </c>
      <c r="S28" s="30">
        <v>11055417000203</v>
      </c>
      <c r="T28" s="6">
        <v>2022</v>
      </c>
      <c r="U28" s="12" t="s">
        <v>208</v>
      </c>
      <c r="V28" s="12">
        <v>4</v>
      </c>
      <c r="W28" s="29">
        <v>27286.07</v>
      </c>
      <c r="X28" s="4" t="s">
        <v>211</v>
      </c>
      <c r="Y28" s="31" t="s">
        <v>174</v>
      </c>
      <c r="Z28" s="31" t="s">
        <v>218</v>
      </c>
      <c r="AA28" s="31" t="s">
        <v>174</v>
      </c>
      <c r="AB28" s="31" t="s">
        <v>175</v>
      </c>
      <c r="AC28" s="52">
        <v>2</v>
      </c>
      <c r="AD28" s="31" t="s">
        <v>177</v>
      </c>
      <c r="AE28" s="31" t="str">
        <f t="shared" si="1"/>
        <v>Detrator</v>
      </c>
    </row>
    <row r="29" spans="1:31" x14ac:dyDescent="0.25">
      <c r="A29" s="16" t="s">
        <v>266</v>
      </c>
      <c r="B29" s="17">
        <v>10113</v>
      </c>
      <c r="C29" s="17">
        <v>2</v>
      </c>
      <c r="D29" s="17" t="s">
        <v>4</v>
      </c>
      <c r="E29" s="17">
        <v>21</v>
      </c>
      <c r="F29" s="17" t="s">
        <v>13</v>
      </c>
      <c r="G29" s="17">
        <v>211</v>
      </c>
      <c r="H29" s="23" t="s">
        <v>153</v>
      </c>
      <c r="I29" s="38" t="s">
        <v>123</v>
      </c>
      <c r="J29" s="24">
        <v>43375</v>
      </c>
      <c r="K29" s="24"/>
      <c r="L29" s="39">
        <v>1144.5</v>
      </c>
      <c r="M29" s="23" t="s">
        <v>226</v>
      </c>
      <c r="N29" s="40">
        <v>815.2</v>
      </c>
      <c r="O29" s="41">
        <v>0</v>
      </c>
      <c r="P29" s="23">
        <v>69</v>
      </c>
      <c r="Q29" s="23" t="s">
        <v>145</v>
      </c>
      <c r="R29" s="38" t="s">
        <v>167</v>
      </c>
      <c r="S29" s="42">
        <v>11055417000187</v>
      </c>
      <c r="T29" s="17">
        <v>2022</v>
      </c>
      <c r="U29" s="43" t="s">
        <v>208</v>
      </c>
      <c r="V29" s="43">
        <v>4</v>
      </c>
      <c r="W29" s="40">
        <v>44835.88</v>
      </c>
      <c r="X29" s="44" t="s">
        <v>211</v>
      </c>
      <c r="Y29" s="45"/>
      <c r="Z29" s="45"/>
      <c r="AA29" s="45"/>
      <c r="AB29" s="45" t="s">
        <v>174</v>
      </c>
      <c r="AC29" s="51">
        <v>7</v>
      </c>
      <c r="AD29" s="45"/>
      <c r="AE29" s="45" t="str">
        <f t="shared" si="1"/>
        <v>Neutro</v>
      </c>
    </row>
    <row r="30" spans="1:31" x14ac:dyDescent="0.25">
      <c r="A30" s="5" t="s">
        <v>266</v>
      </c>
      <c r="B30" s="6">
        <v>10113</v>
      </c>
      <c r="C30" s="6">
        <v>2</v>
      </c>
      <c r="D30" s="6" t="s">
        <v>4</v>
      </c>
      <c r="E30" s="6">
        <v>21</v>
      </c>
      <c r="F30" s="6" t="s">
        <v>13</v>
      </c>
      <c r="G30" s="6">
        <v>211</v>
      </c>
      <c r="H30" s="12" t="s">
        <v>141</v>
      </c>
      <c r="I30" s="14" t="s">
        <v>129</v>
      </c>
      <c r="J30" s="13">
        <v>41732</v>
      </c>
      <c r="K30" s="27"/>
      <c r="L30" s="28">
        <v>1683.08</v>
      </c>
      <c r="M30" s="12" t="s">
        <v>224</v>
      </c>
      <c r="N30" s="29">
        <v>408.01</v>
      </c>
      <c r="O30" s="3">
        <v>8.4420552229480528E-4</v>
      </c>
      <c r="P30" s="12" t="s">
        <v>2</v>
      </c>
      <c r="Q30" s="12"/>
      <c r="R30" s="14" t="s">
        <v>169</v>
      </c>
      <c r="S30" s="30">
        <v>11055417000190</v>
      </c>
      <c r="T30" s="6">
        <v>2022</v>
      </c>
      <c r="U30" s="12" t="s">
        <v>208</v>
      </c>
      <c r="V30" s="12">
        <v>4</v>
      </c>
      <c r="W30" s="29" t="s">
        <v>2</v>
      </c>
      <c r="X30" s="4"/>
      <c r="Y30" s="31"/>
      <c r="Z30" s="31"/>
      <c r="AA30" s="31"/>
      <c r="AB30" s="31" t="s">
        <v>174</v>
      </c>
      <c r="AC30" s="52">
        <v>8</v>
      </c>
      <c r="AD30" s="31" t="s">
        <v>177</v>
      </c>
      <c r="AE30" s="31" t="str">
        <f t="shared" si="1"/>
        <v>Neutro</v>
      </c>
    </row>
    <row r="31" spans="1:31" x14ac:dyDescent="0.25">
      <c r="A31" s="16" t="s">
        <v>266</v>
      </c>
      <c r="B31" s="17">
        <v>10113</v>
      </c>
      <c r="C31" s="17">
        <v>2</v>
      </c>
      <c r="D31" s="17" t="s">
        <v>4</v>
      </c>
      <c r="E31" s="17">
        <v>21</v>
      </c>
      <c r="F31" s="17" t="s">
        <v>13</v>
      </c>
      <c r="G31" s="17">
        <v>211</v>
      </c>
      <c r="H31" s="23" t="s">
        <v>153</v>
      </c>
      <c r="I31" s="38" t="s">
        <v>130</v>
      </c>
      <c r="J31" s="24">
        <v>42311</v>
      </c>
      <c r="K31" s="24"/>
      <c r="L31" s="39">
        <v>1828.18</v>
      </c>
      <c r="M31" s="23" t="s">
        <v>224</v>
      </c>
      <c r="N31" s="40">
        <v>408.01</v>
      </c>
      <c r="O31" s="41">
        <v>0</v>
      </c>
      <c r="P31" s="23">
        <v>75</v>
      </c>
      <c r="Q31" s="23"/>
      <c r="R31" s="38" t="s">
        <v>170</v>
      </c>
      <c r="S31" s="42">
        <v>11055417000199</v>
      </c>
      <c r="T31" s="17">
        <v>2022</v>
      </c>
      <c r="U31" s="43" t="s">
        <v>208</v>
      </c>
      <c r="V31" s="43">
        <v>4</v>
      </c>
      <c r="W31" s="40">
        <v>24480.75</v>
      </c>
      <c r="X31" s="44" t="s">
        <v>222</v>
      </c>
      <c r="Y31" s="45" t="s">
        <v>174</v>
      </c>
      <c r="Z31" s="45" t="s">
        <v>218</v>
      </c>
      <c r="AA31" s="45" t="s">
        <v>174</v>
      </c>
      <c r="AB31" s="45" t="s">
        <v>175</v>
      </c>
      <c r="AC31" s="51">
        <v>6</v>
      </c>
      <c r="AD31" s="45"/>
      <c r="AE31" s="45" t="str">
        <f t="shared" si="1"/>
        <v>Detrator</v>
      </c>
    </row>
    <row r="32" spans="1:31" x14ac:dyDescent="0.25">
      <c r="A32" s="16" t="s">
        <v>266</v>
      </c>
      <c r="B32" s="17">
        <v>10113</v>
      </c>
      <c r="C32" s="17">
        <v>2</v>
      </c>
      <c r="D32" s="17" t="s">
        <v>4</v>
      </c>
      <c r="E32" s="17">
        <v>21</v>
      </c>
      <c r="F32" s="17" t="s">
        <v>13</v>
      </c>
      <c r="G32" s="17">
        <v>211</v>
      </c>
      <c r="H32" s="23" t="s">
        <v>141</v>
      </c>
      <c r="I32" s="38" t="s">
        <v>130</v>
      </c>
      <c r="J32" s="24">
        <v>42311</v>
      </c>
      <c r="K32" s="20"/>
      <c r="L32" s="39">
        <v>1828.18</v>
      </c>
      <c r="M32" s="23" t="s">
        <v>225</v>
      </c>
      <c r="N32" s="40">
        <v>909.54</v>
      </c>
      <c r="O32" s="41">
        <v>0</v>
      </c>
      <c r="P32" s="23">
        <v>539</v>
      </c>
      <c r="Q32" s="23" t="s">
        <v>145</v>
      </c>
      <c r="R32" s="38" t="s">
        <v>164</v>
      </c>
      <c r="S32" s="42">
        <v>11055417000188</v>
      </c>
      <c r="T32" s="17">
        <v>2022</v>
      </c>
      <c r="U32" s="23" t="s">
        <v>212</v>
      </c>
      <c r="V32" s="23">
        <v>5</v>
      </c>
      <c r="W32" s="40">
        <v>391100.42</v>
      </c>
      <c r="X32" s="44" t="s">
        <v>221</v>
      </c>
      <c r="Y32" s="45"/>
      <c r="Z32" s="45"/>
      <c r="AA32" s="45"/>
      <c r="AB32" s="45" t="s">
        <v>174</v>
      </c>
      <c r="AC32" s="51">
        <v>8</v>
      </c>
      <c r="AD32" s="45" t="s">
        <v>177</v>
      </c>
      <c r="AE32" s="45" t="str">
        <f t="shared" si="1"/>
        <v>Neutro</v>
      </c>
    </row>
    <row r="33" spans="1:31" x14ac:dyDescent="0.25">
      <c r="A33" s="14" t="s">
        <v>266</v>
      </c>
      <c r="B33" s="12">
        <v>10113</v>
      </c>
      <c r="C33" s="12">
        <v>2</v>
      </c>
      <c r="D33" s="12" t="s">
        <v>4</v>
      </c>
      <c r="E33" s="12">
        <v>21</v>
      </c>
      <c r="F33" s="12" t="s">
        <v>13</v>
      </c>
      <c r="G33" s="12">
        <v>211</v>
      </c>
      <c r="H33" s="12" t="s">
        <v>153</v>
      </c>
      <c r="I33" s="14" t="s">
        <v>121</v>
      </c>
      <c r="J33" s="13">
        <v>43771</v>
      </c>
      <c r="K33" s="14"/>
      <c r="L33" s="28">
        <v>1587.16</v>
      </c>
      <c r="M33" s="12" t="s">
        <v>225</v>
      </c>
      <c r="N33" s="29">
        <v>909.54</v>
      </c>
      <c r="O33" s="3">
        <v>0</v>
      </c>
      <c r="P33" s="12">
        <v>84</v>
      </c>
      <c r="Q33" s="12"/>
      <c r="R33" s="14" t="s">
        <v>158</v>
      </c>
      <c r="S33" s="30">
        <v>11055417000203</v>
      </c>
      <c r="T33" s="12">
        <v>2022</v>
      </c>
      <c r="U33" s="26" t="s">
        <v>212</v>
      </c>
      <c r="V33" s="26">
        <v>5</v>
      </c>
      <c r="W33" s="29">
        <v>60938.9</v>
      </c>
      <c r="X33" s="4" t="s">
        <v>211</v>
      </c>
      <c r="Y33" s="12"/>
      <c r="Z33" s="12"/>
      <c r="AA33" s="12"/>
      <c r="AB33" s="31" t="s">
        <v>174</v>
      </c>
      <c r="AC33" s="52">
        <v>9</v>
      </c>
      <c r="AD33" s="11"/>
      <c r="AE33" s="12" t="str">
        <f t="shared" si="1"/>
        <v>Promotor</v>
      </c>
    </row>
    <row r="34" spans="1:31" x14ac:dyDescent="0.25">
      <c r="A34" s="16" t="s">
        <v>266</v>
      </c>
      <c r="B34" s="17">
        <v>10113</v>
      </c>
      <c r="C34" s="17">
        <v>2</v>
      </c>
      <c r="D34" s="17" t="s">
        <v>4</v>
      </c>
      <c r="E34" s="17">
        <v>21</v>
      </c>
      <c r="F34" s="17" t="s">
        <v>13</v>
      </c>
      <c r="G34" s="17">
        <v>211</v>
      </c>
      <c r="H34" s="23" t="s">
        <v>141</v>
      </c>
      <c r="I34" s="38" t="s">
        <v>122</v>
      </c>
      <c r="J34" s="24">
        <v>42795</v>
      </c>
      <c r="K34" s="20"/>
      <c r="L34" s="39">
        <v>1199</v>
      </c>
      <c r="M34" s="23" t="s">
        <v>225</v>
      </c>
      <c r="N34" s="40">
        <v>909.54</v>
      </c>
      <c r="O34" s="41">
        <v>0</v>
      </c>
      <c r="P34" s="23">
        <v>70</v>
      </c>
      <c r="Q34" s="23"/>
      <c r="R34" s="38" t="s">
        <v>158</v>
      </c>
      <c r="S34" s="42">
        <v>11055417000203</v>
      </c>
      <c r="T34" s="17">
        <v>2022</v>
      </c>
      <c r="U34" s="23" t="s">
        <v>212</v>
      </c>
      <c r="V34" s="23">
        <v>5</v>
      </c>
      <c r="W34" s="40">
        <v>50934.01</v>
      </c>
      <c r="X34" s="44" t="s">
        <v>211</v>
      </c>
      <c r="Y34" s="45" t="s">
        <v>174</v>
      </c>
      <c r="Z34" s="45" t="s">
        <v>215</v>
      </c>
      <c r="AA34" s="45" t="s">
        <v>174</v>
      </c>
      <c r="AB34" s="45" t="s">
        <v>175</v>
      </c>
      <c r="AC34" s="51">
        <v>5</v>
      </c>
      <c r="AD34" s="45" t="s">
        <v>177</v>
      </c>
      <c r="AE34" s="45" t="str">
        <f t="shared" si="1"/>
        <v>Detrator</v>
      </c>
    </row>
    <row r="35" spans="1:31" x14ac:dyDescent="0.25">
      <c r="A35" s="14" t="s">
        <v>266</v>
      </c>
      <c r="B35" s="12">
        <v>10113</v>
      </c>
      <c r="C35" s="12">
        <v>2</v>
      </c>
      <c r="D35" s="12" t="s">
        <v>4</v>
      </c>
      <c r="E35" s="12">
        <v>21</v>
      </c>
      <c r="F35" s="12" t="s">
        <v>13</v>
      </c>
      <c r="G35" s="12">
        <v>211</v>
      </c>
      <c r="H35" s="12" t="s">
        <v>153</v>
      </c>
      <c r="I35" s="14" t="s">
        <v>123</v>
      </c>
      <c r="J35" s="13">
        <v>43375</v>
      </c>
      <c r="K35" s="14"/>
      <c r="L35" s="28">
        <v>1144.5</v>
      </c>
      <c r="M35" s="12" t="s">
        <v>226</v>
      </c>
      <c r="N35" s="29">
        <v>815.2</v>
      </c>
      <c r="O35" s="3">
        <v>0</v>
      </c>
      <c r="P35" s="12">
        <v>154</v>
      </c>
      <c r="Q35" s="12" t="s">
        <v>145</v>
      </c>
      <c r="R35" s="14" t="s">
        <v>167</v>
      </c>
      <c r="S35" s="30">
        <v>11055417000187</v>
      </c>
      <c r="T35" s="12">
        <v>2022</v>
      </c>
      <c r="U35" s="26" t="s">
        <v>212</v>
      </c>
      <c r="V35" s="26">
        <v>5</v>
      </c>
      <c r="W35" s="29">
        <v>100269.33</v>
      </c>
      <c r="X35" s="4" t="s">
        <v>211</v>
      </c>
      <c r="Y35" s="12"/>
      <c r="Z35" s="12"/>
      <c r="AA35" s="12"/>
      <c r="AB35" s="31" t="s">
        <v>174</v>
      </c>
      <c r="AC35" s="52">
        <v>6</v>
      </c>
      <c r="AD35" s="11"/>
      <c r="AE35" s="12" t="str">
        <f t="shared" si="1"/>
        <v>Detrator</v>
      </c>
    </row>
    <row r="36" spans="1:31" x14ac:dyDescent="0.25">
      <c r="A36" s="16" t="s">
        <v>266</v>
      </c>
      <c r="B36" s="17">
        <v>10113</v>
      </c>
      <c r="C36" s="17">
        <v>2</v>
      </c>
      <c r="D36" s="17" t="s">
        <v>4</v>
      </c>
      <c r="E36" s="17">
        <v>21</v>
      </c>
      <c r="F36" s="17" t="s">
        <v>13</v>
      </c>
      <c r="G36" s="17">
        <v>211</v>
      </c>
      <c r="H36" s="23" t="s">
        <v>141</v>
      </c>
      <c r="I36" s="38" t="s">
        <v>129</v>
      </c>
      <c r="J36" s="24">
        <v>41732</v>
      </c>
      <c r="K36" s="20"/>
      <c r="L36" s="39">
        <v>1683.08</v>
      </c>
      <c r="M36" s="23" t="s">
        <v>224</v>
      </c>
      <c r="N36" s="40">
        <v>408.01</v>
      </c>
      <c r="O36" s="41">
        <v>8.4420552229480528E-4</v>
      </c>
      <c r="P36" s="23" t="s">
        <v>2</v>
      </c>
      <c r="Q36" s="23"/>
      <c r="R36" s="38" t="s">
        <v>169</v>
      </c>
      <c r="S36" s="42">
        <v>11055417000190</v>
      </c>
      <c r="T36" s="17">
        <v>2022</v>
      </c>
      <c r="U36" s="23" t="s">
        <v>212</v>
      </c>
      <c r="V36" s="23">
        <v>5</v>
      </c>
      <c r="W36" s="40" t="s">
        <v>2</v>
      </c>
      <c r="X36" s="44"/>
      <c r="Y36" s="45"/>
      <c r="Z36" s="45"/>
      <c r="AA36" s="45"/>
      <c r="AB36" s="45" t="s">
        <v>174</v>
      </c>
      <c r="AC36" s="51">
        <v>9</v>
      </c>
      <c r="AD36" s="45" t="s">
        <v>177</v>
      </c>
      <c r="AE36" s="45" t="str">
        <f t="shared" si="1"/>
        <v>Promotor</v>
      </c>
    </row>
    <row r="37" spans="1:31" x14ac:dyDescent="0.25">
      <c r="A37" s="14" t="s">
        <v>266</v>
      </c>
      <c r="B37" s="12">
        <v>10113</v>
      </c>
      <c r="C37" s="12">
        <v>2</v>
      </c>
      <c r="D37" s="12" t="s">
        <v>4</v>
      </c>
      <c r="E37" s="12">
        <v>21</v>
      </c>
      <c r="F37" s="12" t="s">
        <v>13</v>
      </c>
      <c r="G37" s="12">
        <v>211</v>
      </c>
      <c r="H37" s="12" t="s">
        <v>153</v>
      </c>
      <c r="I37" s="14" t="s">
        <v>130</v>
      </c>
      <c r="J37" s="13">
        <v>42311</v>
      </c>
      <c r="K37" s="14"/>
      <c r="L37" s="28">
        <v>1828.18</v>
      </c>
      <c r="M37" s="12" t="s">
        <v>224</v>
      </c>
      <c r="N37" s="29">
        <v>408.01</v>
      </c>
      <c r="O37" s="3">
        <v>0</v>
      </c>
      <c r="P37" s="12">
        <v>200</v>
      </c>
      <c r="Q37" s="12"/>
      <c r="R37" s="14" t="s">
        <v>170</v>
      </c>
      <c r="S37" s="30">
        <v>11055417000199</v>
      </c>
      <c r="T37" s="12">
        <v>2022</v>
      </c>
      <c r="U37" s="26" t="s">
        <v>212</v>
      </c>
      <c r="V37" s="26">
        <v>5</v>
      </c>
      <c r="W37" s="29">
        <v>65282.02</v>
      </c>
      <c r="X37" s="4" t="s">
        <v>211</v>
      </c>
      <c r="Y37" s="31" t="s">
        <v>174</v>
      </c>
      <c r="Z37" s="31" t="s">
        <v>215</v>
      </c>
      <c r="AA37" s="31" t="s">
        <v>174</v>
      </c>
      <c r="AB37" s="31" t="s">
        <v>175</v>
      </c>
      <c r="AC37" s="52">
        <v>5</v>
      </c>
      <c r="AD37" s="11"/>
      <c r="AE37" s="12" t="str">
        <f t="shared" si="1"/>
        <v>Detrator</v>
      </c>
    </row>
    <row r="38" spans="1:31" x14ac:dyDescent="0.25">
      <c r="A38" s="5" t="s">
        <v>266</v>
      </c>
      <c r="B38" s="6">
        <v>10113</v>
      </c>
      <c r="C38" s="6">
        <v>2</v>
      </c>
      <c r="D38" s="6" t="s">
        <v>4</v>
      </c>
      <c r="E38" s="6">
        <v>21</v>
      </c>
      <c r="F38" s="6" t="s">
        <v>13</v>
      </c>
      <c r="G38" s="6">
        <v>211</v>
      </c>
      <c r="H38" s="6" t="s">
        <v>153</v>
      </c>
      <c r="I38" s="5" t="s">
        <v>117</v>
      </c>
      <c r="J38" s="8">
        <v>43649</v>
      </c>
      <c r="K38" s="25"/>
      <c r="L38" s="33">
        <v>1587.87</v>
      </c>
      <c r="M38" s="6" t="s">
        <v>224</v>
      </c>
      <c r="N38" s="34">
        <v>448.81</v>
      </c>
      <c r="O38" s="35">
        <f t="shared" ref="O38:O61" si="2">IF(IFERROR((1-W38/(N38*P38)),0)&lt;0,0,IFERROR((1-W38/(N38*P38)),0))</f>
        <v>0.20617588170574275</v>
      </c>
      <c r="P38" s="6">
        <v>79</v>
      </c>
      <c r="Q38" s="6"/>
      <c r="R38" s="5" t="s">
        <v>162</v>
      </c>
      <c r="S38" s="30">
        <v>11055417000198</v>
      </c>
      <c r="T38" s="6">
        <v>2022</v>
      </c>
      <c r="U38" s="6" t="s">
        <v>228</v>
      </c>
      <c r="V38" s="6">
        <v>6</v>
      </c>
      <c r="W38" s="34">
        <v>28145.82</v>
      </c>
      <c r="X38" s="36" t="s">
        <v>211</v>
      </c>
      <c r="Y38" s="37"/>
      <c r="Z38" s="37"/>
      <c r="AA38" s="37"/>
      <c r="AB38" s="37" t="s">
        <v>174</v>
      </c>
      <c r="AC38" s="53">
        <v>7</v>
      </c>
      <c r="AD38" s="37"/>
      <c r="AE38" s="37" t="str">
        <f t="shared" si="1"/>
        <v>Neutro</v>
      </c>
    </row>
    <row r="39" spans="1:31" x14ac:dyDescent="0.25">
      <c r="A39" s="16" t="s">
        <v>266</v>
      </c>
      <c r="B39" s="17">
        <v>10113</v>
      </c>
      <c r="C39" s="17">
        <v>2</v>
      </c>
      <c r="D39" s="17" t="s">
        <v>4</v>
      </c>
      <c r="E39" s="17">
        <v>21</v>
      </c>
      <c r="F39" s="17" t="s">
        <v>13</v>
      </c>
      <c r="G39" s="17">
        <v>211</v>
      </c>
      <c r="H39" s="23" t="s">
        <v>141</v>
      </c>
      <c r="I39" s="38" t="s">
        <v>118</v>
      </c>
      <c r="J39" s="24">
        <v>43802</v>
      </c>
      <c r="K39" s="24"/>
      <c r="L39" s="39">
        <v>1416.99</v>
      </c>
      <c r="M39" s="23" t="s">
        <v>225</v>
      </c>
      <c r="N39" s="40">
        <v>1000.49</v>
      </c>
      <c r="O39" s="41">
        <f t="shared" si="2"/>
        <v>0.19622741999277504</v>
      </c>
      <c r="P39" s="23">
        <v>56</v>
      </c>
      <c r="Q39" s="23"/>
      <c r="R39" s="38" t="s">
        <v>163</v>
      </c>
      <c r="S39" s="42">
        <v>11055417000184</v>
      </c>
      <c r="T39" s="17">
        <v>2022</v>
      </c>
      <c r="U39" s="43" t="s">
        <v>228</v>
      </c>
      <c r="V39" s="43">
        <v>6</v>
      </c>
      <c r="W39" s="40">
        <v>45033.32</v>
      </c>
      <c r="X39" s="44" t="s">
        <v>211</v>
      </c>
      <c r="Y39" s="45" t="s">
        <v>174</v>
      </c>
      <c r="Z39" s="45" t="s">
        <v>217</v>
      </c>
      <c r="AA39" s="45" t="s">
        <v>174</v>
      </c>
      <c r="AB39" s="45" t="s">
        <v>175</v>
      </c>
      <c r="AC39" s="51">
        <v>6</v>
      </c>
      <c r="AD39" s="45"/>
      <c r="AE39" s="45" t="str">
        <f t="shared" si="1"/>
        <v>Detrator</v>
      </c>
    </row>
    <row r="40" spans="1:31" x14ac:dyDescent="0.25">
      <c r="A40" s="5" t="s">
        <v>266</v>
      </c>
      <c r="B40" s="6">
        <v>10113</v>
      </c>
      <c r="C40" s="6">
        <v>2</v>
      </c>
      <c r="D40" s="6" t="s">
        <v>4</v>
      </c>
      <c r="E40" s="6">
        <v>21</v>
      </c>
      <c r="F40" s="6" t="s">
        <v>13</v>
      </c>
      <c r="G40" s="6">
        <v>211</v>
      </c>
      <c r="H40" s="12" t="s">
        <v>141</v>
      </c>
      <c r="I40" s="14" t="s">
        <v>119</v>
      </c>
      <c r="J40" s="13">
        <v>43376</v>
      </c>
      <c r="K40" s="27"/>
      <c r="L40" s="28">
        <v>1949.04</v>
      </c>
      <c r="M40" s="12" t="s">
        <v>225</v>
      </c>
      <c r="N40" s="29">
        <v>1000.49</v>
      </c>
      <c r="O40" s="3">
        <f t="shared" si="2"/>
        <v>0.20951287588090106</v>
      </c>
      <c r="P40" s="12">
        <v>121</v>
      </c>
      <c r="Q40" s="12"/>
      <c r="R40" s="14" t="s">
        <v>164</v>
      </c>
      <c r="S40" s="30">
        <v>11055417000188</v>
      </c>
      <c r="T40" s="6">
        <v>2022</v>
      </c>
      <c r="U40" s="12" t="s">
        <v>228</v>
      </c>
      <c r="V40" s="12">
        <v>6</v>
      </c>
      <c r="W40" s="29">
        <v>95695.81</v>
      </c>
      <c r="X40" s="31" t="s">
        <v>222</v>
      </c>
      <c r="Y40" s="31"/>
      <c r="Z40" s="31"/>
      <c r="AA40" s="31"/>
      <c r="AB40" s="31" t="s">
        <v>174</v>
      </c>
      <c r="AC40" s="52">
        <v>9</v>
      </c>
      <c r="AD40" s="31"/>
      <c r="AE40" s="31" t="str">
        <f t="shared" si="1"/>
        <v>Promotor</v>
      </c>
    </row>
    <row r="41" spans="1:31" ht="16.5" customHeight="1" x14ac:dyDescent="0.25">
      <c r="A41" s="16" t="s">
        <v>266</v>
      </c>
      <c r="B41" s="17">
        <v>10113</v>
      </c>
      <c r="C41" s="17">
        <v>2</v>
      </c>
      <c r="D41" s="17" t="s">
        <v>4</v>
      </c>
      <c r="E41" s="17">
        <v>21</v>
      </c>
      <c r="F41" s="17" t="s">
        <v>13</v>
      </c>
      <c r="G41" s="17">
        <v>211</v>
      </c>
      <c r="H41" s="23" t="s">
        <v>153</v>
      </c>
      <c r="I41" s="38" t="s">
        <v>121</v>
      </c>
      <c r="J41" s="24">
        <v>43771</v>
      </c>
      <c r="K41" s="24"/>
      <c r="L41" s="39">
        <v>1587.16</v>
      </c>
      <c r="M41" s="23" t="s">
        <v>225</v>
      </c>
      <c r="N41" s="40">
        <v>1000.49</v>
      </c>
      <c r="O41" s="41">
        <f t="shared" si="2"/>
        <v>0.20061967450157081</v>
      </c>
      <c r="P41" s="23">
        <v>183</v>
      </c>
      <c r="Q41" s="23"/>
      <c r="R41" s="38" t="s">
        <v>165</v>
      </c>
      <c r="S41" s="42">
        <v>11055417000202</v>
      </c>
      <c r="T41" s="17">
        <v>2022</v>
      </c>
      <c r="U41" s="43" t="s">
        <v>228</v>
      </c>
      <c r="V41" s="43">
        <v>6</v>
      </c>
      <c r="W41" s="40">
        <v>146358.28</v>
      </c>
      <c r="X41" s="44" t="s">
        <v>211</v>
      </c>
      <c r="Y41" s="45"/>
      <c r="Z41" s="45"/>
      <c r="AA41" s="45"/>
      <c r="AB41" s="45" t="s">
        <v>174</v>
      </c>
      <c r="AC41" s="51">
        <v>8</v>
      </c>
      <c r="AD41" s="45"/>
      <c r="AE41" s="45" t="str">
        <f t="shared" si="1"/>
        <v>Neutro</v>
      </c>
    </row>
    <row r="42" spans="1:31" x14ac:dyDescent="0.25">
      <c r="A42" s="5" t="s">
        <v>266</v>
      </c>
      <c r="B42" s="6">
        <v>10113</v>
      </c>
      <c r="C42" s="6">
        <v>2</v>
      </c>
      <c r="D42" s="6" t="s">
        <v>4</v>
      </c>
      <c r="E42" s="6">
        <v>21</v>
      </c>
      <c r="F42" s="6" t="s">
        <v>13</v>
      </c>
      <c r="G42" s="6">
        <v>211</v>
      </c>
      <c r="H42" s="12" t="s">
        <v>141</v>
      </c>
      <c r="I42" s="14" t="s">
        <v>122</v>
      </c>
      <c r="J42" s="13">
        <v>42795</v>
      </c>
      <c r="K42" s="27"/>
      <c r="L42" s="28">
        <v>1199</v>
      </c>
      <c r="M42" s="12" t="s">
        <v>226</v>
      </c>
      <c r="N42" s="29">
        <v>896.71</v>
      </c>
      <c r="O42" s="3">
        <f t="shared" si="2"/>
        <v>0</v>
      </c>
      <c r="P42" s="12" t="s">
        <v>2</v>
      </c>
      <c r="Q42" s="12" t="s">
        <v>145</v>
      </c>
      <c r="R42" s="14" t="s">
        <v>166</v>
      </c>
      <c r="S42" s="30">
        <v>11055417000195</v>
      </c>
      <c r="T42" s="6">
        <v>2022</v>
      </c>
      <c r="U42" s="26" t="s">
        <v>228</v>
      </c>
      <c r="V42" s="26">
        <v>6</v>
      </c>
      <c r="W42" s="29" t="s">
        <v>2</v>
      </c>
      <c r="X42" s="4"/>
      <c r="Y42" s="31" t="s">
        <v>174</v>
      </c>
      <c r="Z42" s="31" t="s">
        <v>217</v>
      </c>
      <c r="AA42" s="31" t="s">
        <v>175</v>
      </c>
      <c r="AB42" s="31" t="s">
        <v>175</v>
      </c>
      <c r="AC42" s="52">
        <v>3</v>
      </c>
      <c r="AD42" s="31"/>
      <c r="AE42" s="31" t="str">
        <f t="shared" si="1"/>
        <v>Detrator</v>
      </c>
    </row>
    <row r="43" spans="1:31" x14ac:dyDescent="0.25">
      <c r="A43" s="16" t="s">
        <v>266</v>
      </c>
      <c r="B43" s="17">
        <v>10113</v>
      </c>
      <c r="C43" s="17">
        <v>2</v>
      </c>
      <c r="D43" s="17" t="s">
        <v>4</v>
      </c>
      <c r="E43" s="17">
        <v>21</v>
      </c>
      <c r="F43" s="17" t="s">
        <v>13</v>
      </c>
      <c r="G43" s="17">
        <v>211</v>
      </c>
      <c r="H43" s="23" t="s">
        <v>153</v>
      </c>
      <c r="I43" s="38" t="s">
        <v>123</v>
      </c>
      <c r="J43" s="24">
        <v>43375</v>
      </c>
      <c r="K43" s="24"/>
      <c r="L43" s="39">
        <v>1144.5</v>
      </c>
      <c r="M43" s="23" t="s">
        <v>224</v>
      </c>
      <c r="N43" s="40">
        <v>448.81</v>
      </c>
      <c r="O43" s="41">
        <f t="shared" si="2"/>
        <v>0.20207251843321661</v>
      </c>
      <c r="P43" s="23">
        <v>503</v>
      </c>
      <c r="Q43" s="23"/>
      <c r="R43" s="38" t="s">
        <v>164</v>
      </c>
      <c r="S43" s="42">
        <v>11055417000188</v>
      </c>
      <c r="T43" s="17">
        <v>2022</v>
      </c>
      <c r="U43" s="43" t="s">
        <v>228</v>
      </c>
      <c r="V43" s="43">
        <v>6</v>
      </c>
      <c r="W43" s="40">
        <v>180133.27</v>
      </c>
      <c r="X43" s="44" t="s">
        <v>211</v>
      </c>
      <c r="Y43" s="45"/>
      <c r="Z43" s="45"/>
      <c r="AA43" s="45"/>
      <c r="AB43" s="45" t="s">
        <v>174</v>
      </c>
      <c r="AC43" s="51">
        <v>7</v>
      </c>
      <c r="AD43" s="45"/>
      <c r="AE43" s="45" t="str">
        <f t="shared" si="1"/>
        <v>Neutro</v>
      </c>
    </row>
    <row r="44" spans="1:31" x14ac:dyDescent="0.25">
      <c r="A44" s="5" t="s">
        <v>266</v>
      </c>
      <c r="B44" s="6">
        <v>10113</v>
      </c>
      <c r="C44" s="6">
        <v>2</v>
      </c>
      <c r="D44" s="6" t="s">
        <v>4</v>
      </c>
      <c r="E44" s="6">
        <v>21</v>
      </c>
      <c r="F44" s="6" t="s">
        <v>13</v>
      </c>
      <c r="G44" s="6">
        <v>211</v>
      </c>
      <c r="H44" s="12" t="s">
        <v>153</v>
      </c>
      <c r="I44" s="14" t="s">
        <v>129</v>
      </c>
      <c r="J44" s="13">
        <v>41732</v>
      </c>
      <c r="K44" s="27"/>
      <c r="L44" s="28">
        <v>1683.08</v>
      </c>
      <c r="M44" s="12" t="s">
        <v>224</v>
      </c>
      <c r="N44" s="29">
        <v>448.81</v>
      </c>
      <c r="O44" s="3">
        <f t="shared" si="2"/>
        <v>0.1994195525093071</v>
      </c>
      <c r="P44" s="12">
        <v>47</v>
      </c>
      <c r="Q44" s="12"/>
      <c r="R44" s="14" t="s">
        <v>163</v>
      </c>
      <c r="S44" s="30">
        <v>11055417000184</v>
      </c>
      <c r="T44" s="6">
        <v>2022</v>
      </c>
      <c r="U44" s="26" t="s">
        <v>228</v>
      </c>
      <c r="V44" s="26">
        <v>6</v>
      </c>
      <c r="W44" s="29">
        <v>16887.5</v>
      </c>
      <c r="X44" s="4" t="s">
        <v>211</v>
      </c>
      <c r="Y44" s="31" t="s">
        <v>174</v>
      </c>
      <c r="Z44" s="31" t="s">
        <v>217</v>
      </c>
      <c r="AA44" s="31" t="s">
        <v>174</v>
      </c>
      <c r="AB44" s="31" t="s">
        <v>175</v>
      </c>
      <c r="AC44" s="52">
        <v>6</v>
      </c>
      <c r="AD44" s="31"/>
      <c r="AE44" s="31" t="str">
        <f t="shared" si="1"/>
        <v>Detrator</v>
      </c>
    </row>
    <row r="45" spans="1:31" x14ac:dyDescent="0.25">
      <c r="A45" s="16" t="s">
        <v>266</v>
      </c>
      <c r="B45" s="17">
        <v>10113</v>
      </c>
      <c r="C45" s="17">
        <v>2</v>
      </c>
      <c r="D45" s="17" t="s">
        <v>4</v>
      </c>
      <c r="E45" s="17">
        <v>21</v>
      </c>
      <c r="F45" s="17" t="s">
        <v>13</v>
      </c>
      <c r="G45" s="17">
        <v>211</v>
      </c>
      <c r="H45" s="23" t="s">
        <v>141</v>
      </c>
      <c r="I45" s="38" t="s">
        <v>130</v>
      </c>
      <c r="J45" s="24">
        <v>42311</v>
      </c>
      <c r="K45" s="24"/>
      <c r="L45" s="39">
        <v>1828.18</v>
      </c>
      <c r="M45" s="23" t="s">
        <v>225</v>
      </c>
      <c r="N45" s="40">
        <v>1000.49</v>
      </c>
      <c r="O45" s="41">
        <f t="shared" si="2"/>
        <v>0.20248735440506416</v>
      </c>
      <c r="P45" s="23">
        <v>642</v>
      </c>
      <c r="Q45" s="23"/>
      <c r="R45" s="38" t="s">
        <v>161</v>
      </c>
      <c r="S45" s="42">
        <v>11055417000197</v>
      </c>
      <c r="T45" s="17">
        <v>2022</v>
      </c>
      <c r="U45" s="43" t="s">
        <v>228</v>
      </c>
      <c r="V45" s="43">
        <v>6</v>
      </c>
      <c r="W45" s="40">
        <v>512254</v>
      </c>
      <c r="X45" s="44" t="s">
        <v>221</v>
      </c>
      <c r="Y45" s="45"/>
      <c r="Z45" s="45"/>
      <c r="AA45" s="45"/>
      <c r="AB45" s="45" t="s">
        <v>174</v>
      </c>
      <c r="AC45" s="51">
        <v>8</v>
      </c>
      <c r="AD45" s="45"/>
      <c r="AE45" s="45" t="str">
        <f t="shared" si="1"/>
        <v>Neutro</v>
      </c>
    </row>
    <row r="46" spans="1:31" x14ac:dyDescent="0.25">
      <c r="A46" s="16" t="s">
        <v>266</v>
      </c>
      <c r="B46" s="17">
        <v>10113</v>
      </c>
      <c r="C46" s="17">
        <v>2</v>
      </c>
      <c r="D46" s="17" t="s">
        <v>4</v>
      </c>
      <c r="E46" s="17">
        <v>21</v>
      </c>
      <c r="F46" s="17" t="s">
        <v>13</v>
      </c>
      <c r="G46" s="17">
        <v>211</v>
      </c>
      <c r="H46" s="23" t="s">
        <v>153</v>
      </c>
      <c r="I46" s="38" t="s">
        <v>132</v>
      </c>
      <c r="J46" s="24">
        <v>44289</v>
      </c>
      <c r="K46" s="20"/>
      <c r="L46" s="39">
        <v>2070.9899999999998</v>
      </c>
      <c r="M46" s="23" t="s">
        <v>225</v>
      </c>
      <c r="N46" s="40">
        <v>1000.49</v>
      </c>
      <c r="O46" s="41">
        <f t="shared" si="2"/>
        <v>0.20345233082980352</v>
      </c>
      <c r="P46" s="23">
        <v>89</v>
      </c>
      <c r="Q46" s="23"/>
      <c r="R46" s="38" t="s">
        <v>163</v>
      </c>
      <c r="S46" s="42">
        <v>11055417000184</v>
      </c>
      <c r="T46" s="17">
        <v>2022</v>
      </c>
      <c r="U46" s="43" t="s">
        <v>229</v>
      </c>
      <c r="V46" s="43">
        <v>7</v>
      </c>
      <c r="W46" s="40">
        <v>70927.48</v>
      </c>
      <c r="X46" s="44" t="s">
        <v>211</v>
      </c>
      <c r="Y46" s="45" t="s">
        <v>174</v>
      </c>
      <c r="Z46" s="45" t="s">
        <v>218</v>
      </c>
      <c r="AA46" s="45" t="s">
        <v>175</v>
      </c>
      <c r="AB46" s="45" t="s">
        <v>175</v>
      </c>
      <c r="AC46" s="51">
        <v>1</v>
      </c>
      <c r="AD46" s="45"/>
      <c r="AE46" s="45" t="str">
        <f t="shared" si="1"/>
        <v>Detrator</v>
      </c>
    </row>
    <row r="47" spans="1:31" x14ac:dyDescent="0.25">
      <c r="A47" s="14" t="s">
        <v>266</v>
      </c>
      <c r="B47" s="12">
        <v>10113</v>
      </c>
      <c r="C47" s="12">
        <v>2</v>
      </c>
      <c r="D47" s="12" t="s">
        <v>4</v>
      </c>
      <c r="E47" s="12">
        <v>21</v>
      </c>
      <c r="F47" s="12" t="s">
        <v>13</v>
      </c>
      <c r="G47" s="12">
        <v>211</v>
      </c>
      <c r="H47" s="12" t="s">
        <v>153</v>
      </c>
      <c r="I47" s="14" t="s">
        <v>121</v>
      </c>
      <c r="J47" s="13">
        <v>43771</v>
      </c>
      <c r="K47" s="14"/>
      <c r="L47" s="28">
        <v>1587.16</v>
      </c>
      <c r="M47" s="12" t="s">
        <v>225</v>
      </c>
      <c r="N47" s="29">
        <v>1000.49</v>
      </c>
      <c r="O47" s="3">
        <f t="shared" si="2"/>
        <v>0.19895200504295274</v>
      </c>
      <c r="P47" s="12">
        <v>59</v>
      </c>
      <c r="Q47" s="12"/>
      <c r="R47" s="14" t="s">
        <v>158</v>
      </c>
      <c r="S47" s="30">
        <v>11055417000203</v>
      </c>
      <c r="T47" s="12">
        <v>2022</v>
      </c>
      <c r="U47" s="26" t="s">
        <v>229</v>
      </c>
      <c r="V47" s="26">
        <v>7</v>
      </c>
      <c r="W47" s="29">
        <v>47284.99</v>
      </c>
      <c r="X47" s="4" t="s">
        <v>211</v>
      </c>
      <c r="Y47" s="12"/>
      <c r="Z47" s="12"/>
      <c r="AA47" s="12"/>
      <c r="AB47" s="31" t="s">
        <v>174</v>
      </c>
      <c r="AC47" s="52">
        <v>8</v>
      </c>
      <c r="AD47" s="11"/>
      <c r="AE47" s="12" t="str">
        <f t="shared" si="1"/>
        <v>Neutro</v>
      </c>
    </row>
    <row r="48" spans="1:31" x14ac:dyDescent="0.25">
      <c r="A48" s="16" t="s">
        <v>266</v>
      </c>
      <c r="B48" s="17">
        <v>10113</v>
      </c>
      <c r="C48" s="17">
        <v>2</v>
      </c>
      <c r="D48" s="17" t="s">
        <v>4</v>
      </c>
      <c r="E48" s="17">
        <v>21</v>
      </c>
      <c r="F48" s="17" t="s">
        <v>13</v>
      </c>
      <c r="G48" s="17">
        <v>211</v>
      </c>
      <c r="H48" s="23" t="s">
        <v>141</v>
      </c>
      <c r="I48" s="38" t="s">
        <v>122</v>
      </c>
      <c r="J48" s="24">
        <v>42795</v>
      </c>
      <c r="K48" s="20"/>
      <c r="L48" s="39">
        <v>1199</v>
      </c>
      <c r="M48" s="23" t="s">
        <v>226</v>
      </c>
      <c r="N48" s="40">
        <v>896.71</v>
      </c>
      <c r="O48" s="41">
        <f t="shared" si="2"/>
        <v>0</v>
      </c>
      <c r="P48" s="23" t="s">
        <v>2</v>
      </c>
      <c r="Q48" s="23" t="s">
        <v>145</v>
      </c>
      <c r="R48" s="38" t="s">
        <v>158</v>
      </c>
      <c r="S48" s="42">
        <v>11055417000203</v>
      </c>
      <c r="T48" s="17">
        <v>2022</v>
      </c>
      <c r="U48" s="43" t="s">
        <v>229</v>
      </c>
      <c r="V48" s="43">
        <v>7</v>
      </c>
      <c r="W48" s="40" t="s">
        <v>2</v>
      </c>
      <c r="X48" s="44"/>
      <c r="Y48" s="45"/>
      <c r="Z48" s="45"/>
      <c r="AA48" s="45"/>
      <c r="AB48" s="45" t="s">
        <v>174</v>
      </c>
      <c r="AC48" s="51">
        <v>7</v>
      </c>
      <c r="AD48" s="45"/>
      <c r="AE48" s="45" t="str">
        <f t="shared" si="1"/>
        <v>Neutro</v>
      </c>
    </row>
    <row r="49" spans="1:31" x14ac:dyDescent="0.25">
      <c r="A49" s="14" t="s">
        <v>266</v>
      </c>
      <c r="B49" s="12">
        <v>10113</v>
      </c>
      <c r="C49" s="12">
        <v>2</v>
      </c>
      <c r="D49" s="12" t="s">
        <v>4</v>
      </c>
      <c r="E49" s="12">
        <v>21</v>
      </c>
      <c r="F49" s="12" t="s">
        <v>13</v>
      </c>
      <c r="G49" s="12">
        <v>211</v>
      </c>
      <c r="H49" s="12" t="s">
        <v>141</v>
      </c>
      <c r="I49" s="14" t="s">
        <v>123</v>
      </c>
      <c r="J49" s="13">
        <v>43375</v>
      </c>
      <c r="K49" s="14"/>
      <c r="L49" s="28">
        <v>1144.5</v>
      </c>
      <c r="M49" s="12" t="s">
        <v>224</v>
      </c>
      <c r="N49" s="29">
        <v>448.81</v>
      </c>
      <c r="O49" s="3">
        <f t="shared" si="2"/>
        <v>0.20345496082471859</v>
      </c>
      <c r="P49" s="12">
        <v>248</v>
      </c>
      <c r="Q49" s="12"/>
      <c r="R49" s="14" t="s">
        <v>166</v>
      </c>
      <c r="S49" s="30">
        <v>11055417000195</v>
      </c>
      <c r="T49" s="12">
        <v>2022</v>
      </c>
      <c r="U49" s="26" t="s">
        <v>229</v>
      </c>
      <c r="V49" s="26">
        <v>7</v>
      </c>
      <c r="W49" s="29">
        <v>88659.35</v>
      </c>
      <c r="X49" s="4" t="s">
        <v>211</v>
      </c>
      <c r="Y49" s="12" t="s">
        <v>174</v>
      </c>
      <c r="Z49" s="12" t="s">
        <v>218</v>
      </c>
      <c r="AA49" s="31" t="s">
        <v>174</v>
      </c>
      <c r="AB49" s="12" t="s">
        <v>175</v>
      </c>
      <c r="AC49" s="52">
        <v>2</v>
      </c>
      <c r="AD49" s="31"/>
      <c r="AE49" s="31" t="str">
        <f t="shared" si="1"/>
        <v>Detrator</v>
      </c>
    </row>
    <row r="50" spans="1:31" x14ac:dyDescent="0.25">
      <c r="A50" s="16" t="s">
        <v>266</v>
      </c>
      <c r="B50" s="17">
        <v>10113</v>
      </c>
      <c r="C50" s="17">
        <v>2</v>
      </c>
      <c r="D50" s="17" t="s">
        <v>4</v>
      </c>
      <c r="E50" s="17">
        <v>21</v>
      </c>
      <c r="F50" s="17" t="s">
        <v>13</v>
      </c>
      <c r="G50" s="17">
        <v>211</v>
      </c>
      <c r="H50" s="23" t="s">
        <v>153</v>
      </c>
      <c r="I50" s="38" t="s">
        <v>129</v>
      </c>
      <c r="J50" s="24">
        <v>41732</v>
      </c>
      <c r="K50" s="20"/>
      <c r="L50" s="39">
        <v>1683.08</v>
      </c>
      <c r="M50" s="23" t="s">
        <v>224</v>
      </c>
      <c r="N50" s="40">
        <v>448.81</v>
      </c>
      <c r="O50" s="41">
        <f t="shared" si="2"/>
        <v>0.20345496082471859</v>
      </c>
      <c r="P50" s="23">
        <v>248</v>
      </c>
      <c r="Q50" s="23"/>
      <c r="R50" s="38" t="s">
        <v>166</v>
      </c>
      <c r="S50" s="42">
        <v>11055417000195</v>
      </c>
      <c r="T50" s="17">
        <v>2022</v>
      </c>
      <c r="U50" s="23" t="s">
        <v>229</v>
      </c>
      <c r="V50" s="23">
        <v>7</v>
      </c>
      <c r="W50" s="40">
        <v>88659.35</v>
      </c>
      <c r="X50" s="44" t="s">
        <v>211</v>
      </c>
      <c r="Y50" s="45"/>
      <c r="Z50" s="45"/>
      <c r="AA50" s="45"/>
      <c r="AB50" s="45" t="s">
        <v>174</v>
      </c>
      <c r="AC50" s="51">
        <v>9</v>
      </c>
      <c r="AD50" s="45"/>
      <c r="AE50" s="45" t="str">
        <f t="shared" si="1"/>
        <v>Promotor</v>
      </c>
    </row>
    <row r="51" spans="1:31" x14ac:dyDescent="0.25">
      <c r="A51" s="14" t="s">
        <v>266</v>
      </c>
      <c r="B51" s="12">
        <v>10113</v>
      </c>
      <c r="C51" s="12">
        <v>2</v>
      </c>
      <c r="D51" s="12" t="s">
        <v>4</v>
      </c>
      <c r="E51" s="12">
        <v>21</v>
      </c>
      <c r="F51" s="12" t="s">
        <v>13</v>
      </c>
      <c r="G51" s="12">
        <v>211</v>
      </c>
      <c r="H51" s="12" t="s">
        <v>141</v>
      </c>
      <c r="I51" s="14" t="s">
        <v>130</v>
      </c>
      <c r="J51" s="13">
        <v>42311</v>
      </c>
      <c r="K51" s="14"/>
      <c r="L51" s="28">
        <v>1828.18</v>
      </c>
      <c r="M51" s="12" t="s">
        <v>224</v>
      </c>
      <c r="N51" s="29">
        <v>448.81</v>
      </c>
      <c r="O51" s="3">
        <f t="shared" si="2"/>
        <v>0.20665357895564795</v>
      </c>
      <c r="P51" s="12">
        <v>83</v>
      </c>
      <c r="Q51" s="12"/>
      <c r="R51" s="14" t="s">
        <v>167</v>
      </c>
      <c r="S51" s="30">
        <v>11055417000187</v>
      </c>
      <c r="T51" s="12">
        <v>2022</v>
      </c>
      <c r="U51" s="26" t="s">
        <v>229</v>
      </c>
      <c r="V51" s="26">
        <v>7</v>
      </c>
      <c r="W51" s="29">
        <v>29553.13</v>
      </c>
      <c r="X51" s="4" t="s">
        <v>211</v>
      </c>
      <c r="Y51" s="12"/>
      <c r="Z51" s="12"/>
      <c r="AA51" s="12"/>
      <c r="AB51" s="31" t="s">
        <v>174</v>
      </c>
      <c r="AC51" s="52">
        <v>7</v>
      </c>
      <c r="AD51" s="31"/>
      <c r="AE51" s="31" t="str">
        <f t="shared" si="1"/>
        <v>Neutro</v>
      </c>
    </row>
    <row r="52" spans="1:31" x14ac:dyDescent="0.25">
      <c r="A52" s="16" t="s">
        <v>266</v>
      </c>
      <c r="B52" s="17">
        <v>10113</v>
      </c>
      <c r="C52" s="17">
        <v>2</v>
      </c>
      <c r="D52" s="17" t="s">
        <v>4</v>
      </c>
      <c r="E52" s="17">
        <v>21</v>
      </c>
      <c r="F52" s="17" t="s">
        <v>13</v>
      </c>
      <c r="G52" s="17">
        <v>211</v>
      </c>
      <c r="H52" s="23" t="s">
        <v>153</v>
      </c>
      <c r="I52" s="38" t="s">
        <v>121</v>
      </c>
      <c r="J52" s="24">
        <v>43771</v>
      </c>
      <c r="K52" s="20"/>
      <c r="L52" s="39">
        <v>1587.16</v>
      </c>
      <c r="M52" s="23" t="s">
        <v>225</v>
      </c>
      <c r="N52" s="40">
        <v>1000.49</v>
      </c>
      <c r="O52" s="41">
        <f t="shared" si="2"/>
        <v>0.21230330471402348</v>
      </c>
      <c r="P52" s="23">
        <v>15</v>
      </c>
      <c r="Q52" s="23"/>
      <c r="R52" s="38" t="s">
        <v>168</v>
      </c>
      <c r="S52" s="42">
        <v>11055417000182</v>
      </c>
      <c r="T52" s="17">
        <v>2022</v>
      </c>
      <c r="U52" s="23" t="s">
        <v>229</v>
      </c>
      <c r="V52" s="23">
        <v>7</v>
      </c>
      <c r="W52" s="40">
        <v>11821.24</v>
      </c>
      <c r="X52" s="44" t="s">
        <v>211</v>
      </c>
      <c r="Y52" s="45" t="s">
        <v>174</v>
      </c>
      <c r="Z52" s="45" t="s">
        <v>218</v>
      </c>
      <c r="AA52" s="45" t="s">
        <v>174</v>
      </c>
      <c r="AB52" s="45" t="s">
        <v>175</v>
      </c>
      <c r="AC52" s="51">
        <v>4</v>
      </c>
      <c r="AD52" s="45"/>
      <c r="AE52" s="45" t="str">
        <f t="shared" si="1"/>
        <v>Detrator</v>
      </c>
    </row>
    <row r="53" spans="1:31" x14ac:dyDescent="0.25">
      <c r="A53" s="14" t="s">
        <v>266</v>
      </c>
      <c r="B53" s="12">
        <v>10113</v>
      </c>
      <c r="C53" s="12">
        <v>2</v>
      </c>
      <c r="D53" s="12" t="s">
        <v>4</v>
      </c>
      <c r="E53" s="12">
        <v>21</v>
      </c>
      <c r="F53" s="12" t="s">
        <v>13</v>
      </c>
      <c r="G53" s="12">
        <v>211</v>
      </c>
      <c r="H53" s="12" t="s">
        <v>141</v>
      </c>
      <c r="I53" s="14" t="s">
        <v>122</v>
      </c>
      <c r="J53" s="13">
        <v>42795</v>
      </c>
      <c r="K53" s="14"/>
      <c r="L53" s="28">
        <v>1199</v>
      </c>
      <c r="M53" s="12" t="s">
        <v>225</v>
      </c>
      <c r="N53" s="29">
        <v>1000.49</v>
      </c>
      <c r="O53" s="3">
        <f t="shared" si="2"/>
        <v>0</v>
      </c>
      <c r="P53" s="12" t="s">
        <v>2</v>
      </c>
      <c r="Q53" s="12" t="s">
        <v>145</v>
      </c>
      <c r="R53" s="14" t="s">
        <v>168</v>
      </c>
      <c r="S53" s="30">
        <v>11055417000182</v>
      </c>
      <c r="T53" s="12">
        <v>2022</v>
      </c>
      <c r="U53" s="26" t="s">
        <v>229</v>
      </c>
      <c r="V53" s="26">
        <v>7</v>
      </c>
      <c r="W53" s="29" t="s">
        <v>2</v>
      </c>
      <c r="X53" s="4"/>
      <c r="Y53" s="12"/>
      <c r="Z53" s="12"/>
      <c r="AA53" s="12"/>
      <c r="AB53" s="31" t="s">
        <v>174</v>
      </c>
      <c r="AC53" s="52">
        <v>8</v>
      </c>
      <c r="AD53" s="31"/>
      <c r="AE53" s="31" t="str">
        <f t="shared" si="1"/>
        <v>Neutro</v>
      </c>
    </row>
    <row r="54" spans="1:31" x14ac:dyDescent="0.25">
      <c r="A54" s="16" t="s">
        <v>266</v>
      </c>
      <c r="B54" s="17">
        <v>10113</v>
      </c>
      <c r="C54" s="17">
        <v>2</v>
      </c>
      <c r="D54" s="17" t="s">
        <v>4</v>
      </c>
      <c r="E54" s="17">
        <v>21</v>
      </c>
      <c r="F54" s="17" t="s">
        <v>13</v>
      </c>
      <c r="G54" s="17">
        <v>211</v>
      </c>
      <c r="H54" s="23" t="s">
        <v>153</v>
      </c>
      <c r="I54" s="38" t="s">
        <v>123</v>
      </c>
      <c r="J54" s="24">
        <v>43375</v>
      </c>
      <c r="K54" s="20"/>
      <c r="L54" s="39">
        <v>1144.5</v>
      </c>
      <c r="M54" s="23" t="s">
        <v>225</v>
      </c>
      <c r="N54" s="40">
        <v>1000.49</v>
      </c>
      <c r="O54" s="41">
        <f t="shared" si="2"/>
        <v>0.2123029715439434</v>
      </c>
      <c r="P54" s="23">
        <v>30</v>
      </c>
      <c r="Q54" s="23"/>
      <c r="R54" s="38" t="s">
        <v>164</v>
      </c>
      <c r="S54" s="42">
        <v>11055417000188</v>
      </c>
      <c r="T54" s="17">
        <v>2022</v>
      </c>
      <c r="U54" s="23" t="s">
        <v>229</v>
      </c>
      <c r="V54" s="23">
        <v>7</v>
      </c>
      <c r="W54" s="40">
        <v>23642.49</v>
      </c>
      <c r="X54" s="44" t="s">
        <v>211</v>
      </c>
      <c r="Y54" s="45"/>
      <c r="Z54" s="45"/>
      <c r="AA54" s="45"/>
      <c r="AB54" s="45" t="s">
        <v>174</v>
      </c>
      <c r="AC54" s="51">
        <v>7</v>
      </c>
      <c r="AD54" s="45"/>
      <c r="AE54" s="45" t="str">
        <f t="shared" si="1"/>
        <v>Neutro</v>
      </c>
    </row>
    <row r="55" spans="1:31" x14ac:dyDescent="0.25">
      <c r="A55" s="14" t="s">
        <v>266</v>
      </c>
      <c r="B55" s="12">
        <v>10113</v>
      </c>
      <c r="C55" s="12">
        <v>2</v>
      </c>
      <c r="D55" s="12" t="s">
        <v>4</v>
      </c>
      <c r="E55" s="12">
        <v>21</v>
      </c>
      <c r="F55" s="12" t="s">
        <v>13</v>
      </c>
      <c r="G55" s="12">
        <v>211</v>
      </c>
      <c r="H55" s="12" t="s">
        <v>141</v>
      </c>
      <c r="I55" s="14" t="s">
        <v>129</v>
      </c>
      <c r="J55" s="13">
        <v>41732</v>
      </c>
      <c r="K55" s="14"/>
      <c r="L55" s="28">
        <v>1683.08</v>
      </c>
      <c r="M55" s="12" t="s">
        <v>224</v>
      </c>
      <c r="N55" s="29">
        <v>448.81</v>
      </c>
      <c r="O55" s="3">
        <f t="shared" si="2"/>
        <v>0.20246549847969264</v>
      </c>
      <c r="P55" s="12">
        <v>644</v>
      </c>
      <c r="Q55" s="12"/>
      <c r="R55" s="14" t="s">
        <v>164</v>
      </c>
      <c r="S55" s="30">
        <v>11055417000188</v>
      </c>
      <c r="T55" s="12">
        <v>2022</v>
      </c>
      <c r="U55" s="26" t="s">
        <v>229</v>
      </c>
      <c r="V55" s="26">
        <v>7</v>
      </c>
      <c r="W55" s="29">
        <v>230514.3</v>
      </c>
      <c r="X55" s="4" t="s">
        <v>211</v>
      </c>
      <c r="Y55" s="12" t="s">
        <v>174</v>
      </c>
      <c r="Z55" s="12" t="s">
        <v>218</v>
      </c>
      <c r="AA55" s="31" t="s">
        <v>175</v>
      </c>
      <c r="AB55" s="12" t="s">
        <v>175</v>
      </c>
      <c r="AC55" s="52">
        <v>3</v>
      </c>
      <c r="AD55" s="31"/>
      <c r="AE55" s="31" t="str">
        <f t="shared" si="1"/>
        <v>Detrator</v>
      </c>
    </row>
    <row r="56" spans="1:31" x14ac:dyDescent="0.25">
      <c r="A56" s="5" t="s">
        <v>266</v>
      </c>
      <c r="B56" s="6">
        <v>10113</v>
      </c>
      <c r="C56" s="6">
        <v>2</v>
      </c>
      <c r="D56" s="6" t="s">
        <v>4</v>
      </c>
      <c r="E56" s="6">
        <v>21</v>
      </c>
      <c r="F56" s="6" t="s">
        <v>13</v>
      </c>
      <c r="G56" s="6">
        <v>211</v>
      </c>
      <c r="H56" s="12" t="s">
        <v>141</v>
      </c>
      <c r="I56" s="14" t="s">
        <v>130</v>
      </c>
      <c r="J56" s="13">
        <v>42311</v>
      </c>
      <c r="K56" s="27"/>
      <c r="L56" s="28">
        <v>1828.18</v>
      </c>
      <c r="M56" s="12" t="s">
        <v>225</v>
      </c>
      <c r="N56" s="29">
        <v>1000.49</v>
      </c>
      <c r="O56" s="3">
        <f t="shared" si="2"/>
        <v>0</v>
      </c>
      <c r="P56" s="12" t="s">
        <v>2</v>
      </c>
      <c r="Q56" s="12" t="s">
        <v>145</v>
      </c>
      <c r="R56" s="14" t="s">
        <v>240</v>
      </c>
      <c r="S56" s="30">
        <v>11055417001188</v>
      </c>
      <c r="T56" s="6">
        <v>2022</v>
      </c>
      <c r="U56" s="12" t="s">
        <v>230</v>
      </c>
      <c r="V56" s="12">
        <v>8</v>
      </c>
      <c r="W56" s="29" t="s">
        <v>2</v>
      </c>
      <c r="X56" s="4"/>
      <c r="Y56" s="31"/>
      <c r="Z56" s="31"/>
      <c r="AA56" s="31"/>
      <c r="AB56" s="31" t="s">
        <v>174</v>
      </c>
      <c r="AC56" s="52">
        <v>7</v>
      </c>
      <c r="AD56" s="31" t="s">
        <v>177</v>
      </c>
      <c r="AE56" s="31" t="str">
        <f t="shared" si="1"/>
        <v>Neutro</v>
      </c>
    </row>
    <row r="57" spans="1:31" x14ac:dyDescent="0.25">
      <c r="A57" s="16" t="s">
        <v>266</v>
      </c>
      <c r="B57" s="17">
        <v>10113</v>
      </c>
      <c r="C57" s="17">
        <v>2</v>
      </c>
      <c r="D57" s="17" t="s">
        <v>4</v>
      </c>
      <c r="E57" s="17">
        <v>21</v>
      </c>
      <c r="F57" s="17" t="s">
        <v>13</v>
      </c>
      <c r="G57" s="17">
        <v>211</v>
      </c>
      <c r="H57" s="23" t="s">
        <v>153</v>
      </c>
      <c r="I57" s="38" t="s">
        <v>121</v>
      </c>
      <c r="J57" s="24">
        <v>43771</v>
      </c>
      <c r="K57" s="24"/>
      <c r="L57" s="39">
        <v>1587.16</v>
      </c>
      <c r="M57" s="23" t="s">
        <v>225</v>
      </c>
      <c r="N57" s="40">
        <v>1000.49</v>
      </c>
      <c r="O57" s="41">
        <f t="shared" si="2"/>
        <v>0.19989560763761327</v>
      </c>
      <c r="P57" s="23">
        <v>239</v>
      </c>
      <c r="Q57" s="23"/>
      <c r="R57" s="38" t="s">
        <v>158</v>
      </c>
      <c r="S57" s="42">
        <v>11055417000203</v>
      </c>
      <c r="T57" s="17">
        <v>2022</v>
      </c>
      <c r="U57" s="43" t="s">
        <v>230</v>
      </c>
      <c r="V57" s="43">
        <v>8</v>
      </c>
      <c r="W57" s="40">
        <v>191318.65</v>
      </c>
      <c r="X57" s="44" t="s">
        <v>211</v>
      </c>
      <c r="Y57" s="45"/>
      <c r="Z57" s="45"/>
      <c r="AA57" s="45"/>
      <c r="AB57" s="45" t="s">
        <v>174</v>
      </c>
      <c r="AC57" s="51">
        <v>8</v>
      </c>
      <c r="AD57" s="45"/>
      <c r="AE57" s="45" t="str">
        <f t="shared" si="1"/>
        <v>Neutro</v>
      </c>
    </row>
    <row r="58" spans="1:31" x14ac:dyDescent="0.25">
      <c r="A58" s="5" t="s">
        <v>266</v>
      </c>
      <c r="B58" s="6">
        <v>10113</v>
      </c>
      <c r="C58" s="6">
        <v>2</v>
      </c>
      <c r="D58" s="6" t="s">
        <v>4</v>
      </c>
      <c r="E58" s="6">
        <v>21</v>
      </c>
      <c r="F58" s="6" t="s">
        <v>13</v>
      </c>
      <c r="G58" s="6">
        <v>211</v>
      </c>
      <c r="H58" s="12" t="s">
        <v>141</v>
      </c>
      <c r="I58" s="14" t="s">
        <v>122</v>
      </c>
      <c r="J58" s="13">
        <v>42795</v>
      </c>
      <c r="K58" s="27"/>
      <c r="L58" s="28">
        <v>1199</v>
      </c>
      <c r="M58" s="12" t="s">
        <v>225</v>
      </c>
      <c r="N58" s="29">
        <v>1000.49</v>
      </c>
      <c r="O58" s="3">
        <f t="shared" si="2"/>
        <v>0.2011633775105629</v>
      </c>
      <c r="P58" s="12">
        <v>267</v>
      </c>
      <c r="Q58" s="12"/>
      <c r="R58" s="14" t="s">
        <v>241</v>
      </c>
      <c r="S58" s="30">
        <v>11055417003203</v>
      </c>
      <c r="T58" s="6">
        <v>2022</v>
      </c>
      <c r="U58" s="12" t="s">
        <v>230</v>
      </c>
      <c r="V58" s="12">
        <v>8</v>
      </c>
      <c r="W58" s="29">
        <v>213393.89</v>
      </c>
      <c r="X58" s="4" t="s">
        <v>211</v>
      </c>
      <c r="Y58" s="31" t="s">
        <v>174</v>
      </c>
      <c r="Z58" s="31" t="s">
        <v>218</v>
      </c>
      <c r="AA58" s="31" t="s">
        <v>174</v>
      </c>
      <c r="AB58" s="31" t="s">
        <v>175</v>
      </c>
      <c r="AC58" s="52">
        <v>4</v>
      </c>
      <c r="AD58" s="31" t="s">
        <v>177</v>
      </c>
      <c r="AE58" s="31" t="str">
        <f t="shared" si="1"/>
        <v>Detrator</v>
      </c>
    </row>
    <row r="59" spans="1:31" x14ac:dyDescent="0.25">
      <c r="A59" s="16" t="s">
        <v>266</v>
      </c>
      <c r="B59" s="17">
        <v>10113</v>
      </c>
      <c r="C59" s="17">
        <v>2</v>
      </c>
      <c r="D59" s="17" t="s">
        <v>4</v>
      </c>
      <c r="E59" s="17">
        <v>21</v>
      </c>
      <c r="F59" s="17" t="s">
        <v>13</v>
      </c>
      <c r="G59" s="17">
        <v>211</v>
      </c>
      <c r="H59" s="23" t="s">
        <v>153</v>
      </c>
      <c r="I59" s="38" t="s">
        <v>123</v>
      </c>
      <c r="J59" s="24">
        <v>43375</v>
      </c>
      <c r="K59" s="24"/>
      <c r="L59" s="39">
        <v>1144.5</v>
      </c>
      <c r="M59" s="23" t="s">
        <v>226</v>
      </c>
      <c r="N59" s="40">
        <v>896.71</v>
      </c>
      <c r="O59" s="41">
        <f t="shared" si="2"/>
        <v>0</v>
      </c>
      <c r="P59" s="23" t="s">
        <v>2</v>
      </c>
      <c r="Q59" s="23" t="s">
        <v>145</v>
      </c>
      <c r="R59" s="38" t="s">
        <v>167</v>
      </c>
      <c r="S59" s="42">
        <v>11055417000187</v>
      </c>
      <c r="T59" s="17">
        <v>2022</v>
      </c>
      <c r="U59" s="43" t="s">
        <v>230</v>
      </c>
      <c r="V59" s="43">
        <v>8</v>
      </c>
      <c r="W59" s="40" t="s">
        <v>2</v>
      </c>
      <c r="X59" s="44"/>
      <c r="Y59" s="45"/>
      <c r="Z59" s="45"/>
      <c r="AA59" s="45"/>
      <c r="AB59" s="45" t="s">
        <v>174</v>
      </c>
      <c r="AC59" s="51">
        <v>10</v>
      </c>
      <c r="AD59" s="45"/>
      <c r="AE59" s="45" t="str">
        <f t="shared" si="1"/>
        <v>Promotor</v>
      </c>
    </row>
    <row r="60" spans="1:31" x14ac:dyDescent="0.25">
      <c r="A60" s="5" t="s">
        <v>266</v>
      </c>
      <c r="B60" s="6">
        <v>10113</v>
      </c>
      <c r="C60" s="6">
        <v>2</v>
      </c>
      <c r="D60" s="6" t="s">
        <v>4</v>
      </c>
      <c r="E60" s="6">
        <v>21</v>
      </c>
      <c r="F60" s="6" t="s">
        <v>13</v>
      </c>
      <c r="G60" s="6">
        <v>211</v>
      </c>
      <c r="H60" s="12" t="s">
        <v>141</v>
      </c>
      <c r="I60" s="14" t="s">
        <v>129</v>
      </c>
      <c r="J60" s="13">
        <v>41732</v>
      </c>
      <c r="K60" s="27"/>
      <c r="L60" s="28">
        <v>1683.08</v>
      </c>
      <c r="M60" s="12" t="s">
        <v>224</v>
      </c>
      <c r="N60" s="29">
        <v>448.81</v>
      </c>
      <c r="O60" s="3">
        <f t="shared" si="2"/>
        <v>0.20115328439305158</v>
      </c>
      <c r="P60" s="12">
        <v>431</v>
      </c>
      <c r="Q60" s="12"/>
      <c r="R60" s="14" t="s">
        <v>242</v>
      </c>
      <c r="S60" s="30">
        <v>11055417000191</v>
      </c>
      <c r="T60" s="6">
        <v>2022</v>
      </c>
      <c r="U60" s="12" t="s">
        <v>230</v>
      </c>
      <c r="V60" s="12">
        <v>8</v>
      </c>
      <c r="W60" s="29">
        <v>154526.6</v>
      </c>
      <c r="X60" s="31" t="s">
        <v>222</v>
      </c>
      <c r="Y60" s="31"/>
      <c r="Z60" s="31"/>
      <c r="AA60" s="31"/>
      <c r="AB60" s="31" t="s">
        <v>174</v>
      </c>
      <c r="AC60" s="52">
        <v>9</v>
      </c>
      <c r="AD60" s="31" t="s">
        <v>177</v>
      </c>
      <c r="AE60" s="31" t="str">
        <f t="shared" si="1"/>
        <v>Promotor</v>
      </c>
    </row>
    <row r="61" spans="1:31" x14ac:dyDescent="0.25">
      <c r="A61" s="16" t="s">
        <v>266</v>
      </c>
      <c r="B61" s="17">
        <v>10113</v>
      </c>
      <c r="C61" s="17">
        <v>2</v>
      </c>
      <c r="D61" s="17" t="s">
        <v>4</v>
      </c>
      <c r="E61" s="17">
        <v>21</v>
      </c>
      <c r="F61" s="17" t="s">
        <v>13</v>
      </c>
      <c r="G61" s="17">
        <v>211</v>
      </c>
      <c r="H61" s="23" t="s">
        <v>153</v>
      </c>
      <c r="I61" s="38" t="s">
        <v>130</v>
      </c>
      <c r="J61" s="24">
        <v>42311</v>
      </c>
      <c r="K61" s="24"/>
      <c r="L61" s="39">
        <v>1828.18</v>
      </c>
      <c r="M61" s="23" t="s">
        <v>224</v>
      </c>
      <c r="N61" s="40">
        <v>448.81</v>
      </c>
      <c r="O61" s="41">
        <f t="shared" si="2"/>
        <v>0.2002254652456732</v>
      </c>
      <c r="P61" s="23">
        <v>492</v>
      </c>
      <c r="Q61" s="23"/>
      <c r="R61" s="38" t="s">
        <v>170</v>
      </c>
      <c r="S61" s="42">
        <v>11055417000199</v>
      </c>
      <c r="T61" s="17">
        <v>2022</v>
      </c>
      <c r="U61" s="43" t="s">
        <v>230</v>
      </c>
      <c r="V61" s="43">
        <v>8</v>
      </c>
      <c r="W61" s="40">
        <v>176601.83</v>
      </c>
      <c r="X61" s="44" t="s">
        <v>211</v>
      </c>
      <c r="Y61" s="45" t="s">
        <v>174</v>
      </c>
      <c r="Z61" s="45" t="s">
        <v>217</v>
      </c>
      <c r="AA61" s="45" t="s">
        <v>174</v>
      </c>
      <c r="AB61" s="45" t="s">
        <v>175</v>
      </c>
      <c r="AC61" s="51">
        <v>6</v>
      </c>
      <c r="AD61" s="45"/>
      <c r="AE61" s="45" t="str">
        <f t="shared" si="1"/>
        <v>Detrator</v>
      </c>
    </row>
    <row r="62" spans="1:31" x14ac:dyDescent="0.25">
      <c r="A62" s="16" t="s">
        <v>266</v>
      </c>
      <c r="B62" s="17">
        <v>10113</v>
      </c>
      <c r="C62" s="17">
        <v>2</v>
      </c>
      <c r="D62" s="17" t="s">
        <v>4</v>
      </c>
      <c r="E62" s="17">
        <v>21</v>
      </c>
      <c r="F62" s="17" t="s">
        <v>13</v>
      </c>
      <c r="G62" s="17">
        <v>211</v>
      </c>
      <c r="H62" s="23" t="s">
        <v>141</v>
      </c>
      <c r="I62" s="38" t="s">
        <v>130</v>
      </c>
      <c r="J62" s="24">
        <v>42311</v>
      </c>
      <c r="K62" s="20"/>
      <c r="L62" s="39">
        <v>1828.18</v>
      </c>
      <c r="M62" s="23" t="s">
        <v>225</v>
      </c>
      <c r="N62" s="40">
        <v>1000.49</v>
      </c>
      <c r="O62" s="41">
        <v>0</v>
      </c>
      <c r="P62" s="23">
        <v>382</v>
      </c>
      <c r="Q62" s="23" t="s">
        <v>145</v>
      </c>
      <c r="R62" s="38" t="s">
        <v>249</v>
      </c>
      <c r="S62" s="42">
        <v>11055417000188</v>
      </c>
      <c r="T62" s="17">
        <v>2022</v>
      </c>
      <c r="U62" s="23" t="s">
        <v>231</v>
      </c>
      <c r="V62" s="23">
        <v>9</v>
      </c>
      <c r="W62" s="40">
        <v>305604.05</v>
      </c>
      <c r="X62" s="44" t="s">
        <v>211</v>
      </c>
      <c r="Y62" s="45"/>
      <c r="Z62" s="45"/>
      <c r="AA62" s="45"/>
      <c r="AB62" s="45" t="s">
        <v>174</v>
      </c>
      <c r="AC62" s="51">
        <v>6</v>
      </c>
      <c r="AD62" s="45"/>
      <c r="AE62" s="45" t="str">
        <f t="shared" si="1"/>
        <v>Detrator</v>
      </c>
    </row>
    <row r="63" spans="1:31" x14ac:dyDescent="0.25">
      <c r="A63" s="14" t="s">
        <v>266</v>
      </c>
      <c r="B63" s="12">
        <v>10113</v>
      </c>
      <c r="C63" s="12">
        <v>2</v>
      </c>
      <c r="D63" s="12" t="s">
        <v>4</v>
      </c>
      <c r="E63" s="12">
        <v>21</v>
      </c>
      <c r="F63" s="12" t="s">
        <v>13</v>
      </c>
      <c r="G63" s="12">
        <v>211</v>
      </c>
      <c r="H63" s="12" t="s">
        <v>153</v>
      </c>
      <c r="I63" s="14" t="s">
        <v>121</v>
      </c>
      <c r="J63" s="13">
        <v>43771</v>
      </c>
      <c r="K63" s="14"/>
      <c r="L63" s="28">
        <v>1587.16</v>
      </c>
      <c r="M63" s="12" t="s">
        <v>225</v>
      </c>
      <c r="N63" s="29">
        <v>1000.49</v>
      </c>
      <c r="O63" s="3">
        <v>0</v>
      </c>
      <c r="P63" s="12">
        <v>37</v>
      </c>
      <c r="Q63" s="12"/>
      <c r="R63" s="14" t="s">
        <v>158</v>
      </c>
      <c r="S63" s="30">
        <v>11055417000203</v>
      </c>
      <c r="T63" s="12">
        <v>2022</v>
      </c>
      <c r="U63" s="26" t="s">
        <v>231</v>
      </c>
      <c r="V63" s="26">
        <v>9</v>
      </c>
      <c r="W63" s="29">
        <v>28650.38</v>
      </c>
      <c r="X63" s="4" t="s">
        <v>211</v>
      </c>
      <c r="Y63" s="12"/>
      <c r="Z63" s="12"/>
      <c r="AA63" s="12"/>
      <c r="AB63" s="31" t="s">
        <v>174</v>
      </c>
      <c r="AC63" s="52">
        <v>10</v>
      </c>
      <c r="AD63" s="11"/>
      <c r="AE63" s="12" t="str">
        <f t="shared" si="1"/>
        <v>Promotor</v>
      </c>
    </row>
    <row r="64" spans="1:31" x14ac:dyDescent="0.25">
      <c r="A64" s="16" t="s">
        <v>266</v>
      </c>
      <c r="B64" s="17">
        <v>10113</v>
      </c>
      <c r="C64" s="17">
        <v>2</v>
      </c>
      <c r="D64" s="17" t="s">
        <v>4</v>
      </c>
      <c r="E64" s="17">
        <v>21</v>
      </c>
      <c r="F64" s="17" t="s">
        <v>13</v>
      </c>
      <c r="G64" s="17">
        <v>211</v>
      </c>
      <c r="H64" s="23" t="s">
        <v>141</v>
      </c>
      <c r="I64" s="38" t="s">
        <v>122</v>
      </c>
      <c r="J64" s="24">
        <v>42795</v>
      </c>
      <c r="K64" s="20"/>
      <c r="L64" s="39">
        <v>1199</v>
      </c>
      <c r="M64" s="23" t="s">
        <v>225</v>
      </c>
      <c r="N64" s="40">
        <v>1000.49</v>
      </c>
      <c r="O64" s="41">
        <v>0</v>
      </c>
      <c r="P64" s="23">
        <v>37</v>
      </c>
      <c r="Q64" s="23"/>
      <c r="R64" s="38" t="s">
        <v>250</v>
      </c>
      <c r="S64" s="42">
        <v>11055417000203</v>
      </c>
      <c r="T64" s="17">
        <v>2022</v>
      </c>
      <c r="U64" s="23" t="s">
        <v>231</v>
      </c>
      <c r="V64" s="23">
        <v>9</v>
      </c>
      <c r="W64" s="40">
        <v>28650.38</v>
      </c>
      <c r="X64" s="44" t="s">
        <v>211</v>
      </c>
      <c r="Y64" s="45" t="s">
        <v>174</v>
      </c>
      <c r="Z64" s="45" t="s">
        <v>218</v>
      </c>
      <c r="AA64" s="45" t="s">
        <v>174</v>
      </c>
      <c r="AB64" s="45" t="s">
        <v>175</v>
      </c>
      <c r="AC64" s="51">
        <v>7</v>
      </c>
      <c r="AD64" s="45"/>
      <c r="AE64" s="45" t="str">
        <f t="shared" si="1"/>
        <v>Neutro</v>
      </c>
    </row>
    <row r="65" spans="1:31" x14ac:dyDescent="0.25">
      <c r="A65" s="14" t="s">
        <v>266</v>
      </c>
      <c r="B65" s="12">
        <v>10113</v>
      </c>
      <c r="C65" s="12">
        <v>2</v>
      </c>
      <c r="D65" s="12" t="s">
        <v>4</v>
      </c>
      <c r="E65" s="12">
        <v>21</v>
      </c>
      <c r="F65" s="12" t="s">
        <v>13</v>
      </c>
      <c r="G65" s="12">
        <v>211</v>
      </c>
      <c r="H65" s="12" t="s">
        <v>153</v>
      </c>
      <c r="I65" s="14" t="s">
        <v>123</v>
      </c>
      <c r="J65" s="13">
        <v>43375</v>
      </c>
      <c r="K65" s="14"/>
      <c r="L65" s="28">
        <v>1144.5</v>
      </c>
      <c r="M65" s="12" t="s">
        <v>226</v>
      </c>
      <c r="N65" s="29">
        <v>896.71</v>
      </c>
      <c r="O65" s="3">
        <v>0</v>
      </c>
      <c r="P65" s="12">
        <v>67</v>
      </c>
      <c r="Q65" s="12" t="s">
        <v>145</v>
      </c>
      <c r="R65" s="14" t="s">
        <v>167</v>
      </c>
      <c r="S65" s="30">
        <v>11055417000187</v>
      </c>
      <c r="T65" s="12">
        <v>2022</v>
      </c>
      <c r="U65" s="26" t="s">
        <v>231</v>
      </c>
      <c r="V65" s="26">
        <v>9</v>
      </c>
      <c r="W65" s="29">
        <v>47077.68</v>
      </c>
      <c r="X65" s="4" t="s">
        <v>211</v>
      </c>
      <c r="Y65" s="12"/>
      <c r="Z65" s="12"/>
      <c r="AA65" s="12"/>
      <c r="AB65" s="31" t="s">
        <v>174</v>
      </c>
      <c r="AC65" s="52">
        <v>8</v>
      </c>
      <c r="AD65" s="11"/>
      <c r="AE65" s="12" t="str">
        <f t="shared" si="1"/>
        <v>Neutro</v>
      </c>
    </row>
    <row r="66" spans="1:31" x14ac:dyDescent="0.25">
      <c r="A66" s="16" t="s">
        <v>266</v>
      </c>
      <c r="B66" s="17">
        <v>10113</v>
      </c>
      <c r="C66" s="17">
        <v>2</v>
      </c>
      <c r="D66" s="17" t="s">
        <v>4</v>
      </c>
      <c r="E66" s="17">
        <v>21</v>
      </c>
      <c r="F66" s="17" t="s">
        <v>13</v>
      </c>
      <c r="G66" s="17">
        <v>211</v>
      </c>
      <c r="H66" s="23" t="s">
        <v>141</v>
      </c>
      <c r="I66" s="38" t="s">
        <v>129</v>
      </c>
      <c r="J66" s="24">
        <v>41732</v>
      </c>
      <c r="K66" s="20"/>
      <c r="L66" s="39">
        <v>1683.08</v>
      </c>
      <c r="M66" s="23" t="s">
        <v>224</v>
      </c>
      <c r="N66" s="40">
        <v>448.81</v>
      </c>
      <c r="O66" s="41">
        <v>8.4420552229480528E-4</v>
      </c>
      <c r="P66" s="23" t="s">
        <v>2</v>
      </c>
      <c r="Q66" s="23"/>
      <c r="R66" s="38" t="s">
        <v>169</v>
      </c>
      <c r="S66" s="42">
        <v>11055417000190</v>
      </c>
      <c r="T66" s="17">
        <v>2022</v>
      </c>
      <c r="U66" s="43" t="s">
        <v>231</v>
      </c>
      <c r="V66" s="43">
        <v>9</v>
      </c>
      <c r="W66" s="40" t="s">
        <v>2</v>
      </c>
      <c r="X66" s="44"/>
      <c r="Y66" s="45"/>
      <c r="Z66" s="45"/>
      <c r="AA66" s="45"/>
      <c r="AB66" s="45" t="s">
        <v>174</v>
      </c>
      <c r="AC66" s="51">
        <v>8</v>
      </c>
      <c r="AD66" s="45"/>
      <c r="AE66" s="45" t="str">
        <f t="shared" ref="AE66:AE129" si="3">IF(AC66&lt;&gt;"-",IF(AC66&lt;=6,"Detrator",IF(AC66&gt;=9,"Promotor","Neutro")),"-")</f>
        <v>Neutro</v>
      </c>
    </row>
    <row r="67" spans="1:31" x14ac:dyDescent="0.25">
      <c r="A67" s="14" t="s">
        <v>266</v>
      </c>
      <c r="B67" s="12">
        <v>10113</v>
      </c>
      <c r="C67" s="12">
        <v>2</v>
      </c>
      <c r="D67" s="12" t="s">
        <v>4</v>
      </c>
      <c r="E67" s="12">
        <v>21</v>
      </c>
      <c r="F67" s="12" t="s">
        <v>13</v>
      </c>
      <c r="G67" s="12">
        <v>211</v>
      </c>
      <c r="H67" s="12" t="s">
        <v>153</v>
      </c>
      <c r="I67" s="14" t="s">
        <v>130</v>
      </c>
      <c r="J67" s="13">
        <v>42311</v>
      </c>
      <c r="K67" s="14"/>
      <c r="L67" s="28">
        <v>1828.18</v>
      </c>
      <c r="M67" s="12" t="s">
        <v>224</v>
      </c>
      <c r="N67" s="29">
        <v>448.81</v>
      </c>
      <c r="O67" s="3">
        <v>0</v>
      </c>
      <c r="P67" s="12">
        <v>71</v>
      </c>
      <c r="Q67" s="12"/>
      <c r="R67" s="14" t="s">
        <v>170</v>
      </c>
      <c r="S67" s="30">
        <v>11055417000199</v>
      </c>
      <c r="T67" s="12">
        <v>2022</v>
      </c>
      <c r="U67" s="26" t="s">
        <v>236</v>
      </c>
      <c r="V67" s="26">
        <v>9</v>
      </c>
      <c r="W67" s="29">
        <v>25704.79</v>
      </c>
      <c r="X67" s="4" t="s">
        <v>222</v>
      </c>
      <c r="Y67" s="31" t="s">
        <v>174</v>
      </c>
      <c r="Z67" s="31" t="s">
        <v>218</v>
      </c>
      <c r="AA67" s="31" t="s">
        <v>174</v>
      </c>
      <c r="AB67" s="31" t="s">
        <v>175</v>
      </c>
      <c r="AC67" s="52">
        <v>6</v>
      </c>
      <c r="AD67" s="11"/>
      <c r="AE67" s="12" t="str">
        <f t="shared" si="3"/>
        <v>Detrator</v>
      </c>
    </row>
    <row r="68" spans="1:31" x14ac:dyDescent="0.25">
      <c r="A68" s="5" t="s">
        <v>266</v>
      </c>
      <c r="B68" s="6">
        <v>10113</v>
      </c>
      <c r="C68" s="6">
        <v>2</v>
      </c>
      <c r="D68" s="6" t="s">
        <v>4</v>
      </c>
      <c r="E68" s="6">
        <v>21</v>
      </c>
      <c r="F68" s="6" t="s">
        <v>13</v>
      </c>
      <c r="G68" s="6">
        <v>211</v>
      </c>
      <c r="H68" s="12" t="s">
        <v>141</v>
      </c>
      <c r="I68" s="14" t="s">
        <v>130</v>
      </c>
      <c r="J68" s="13">
        <v>42311</v>
      </c>
      <c r="K68" s="27"/>
      <c r="L68" s="28">
        <v>1828.18</v>
      </c>
      <c r="M68" s="12" t="s">
        <v>225</v>
      </c>
      <c r="N68" s="29">
        <v>1000.49</v>
      </c>
      <c r="O68" s="3">
        <v>0</v>
      </c>
      <c r="P68" s="12">
        <v>514</v>
      </c>
      <c r="Q68" s="12" t="s">
        <v>145</v>
      </c>
      <c r="R68" s="14" t="s">
        <v>164</v>
      </c>
      <c r="S68" s="30">
        <v>11055417000188</v>
      </c>
      <c r="T68" s="6">
        <v>2022</v>
      </c>
      <c r="U68" s="26" t="s">
        <v>236</v>
      </c>
      <c r="V68" s="26">
        <v>10</v>
      </c>
      <c r="W68" s="29">
        <v>410655.43</v>
      </c>
      <c r="X68" s="4" t="s">
        <v>221</v>
      </c>
      <c r="Y68" s="31"/>
      <c r="Z68" s="31"/>
      <c r="AA68" s="31"/>
      <c r="AB68" s="31" t="s">
        <v>174</v>
      </c>
      <c r="AC68" s="52">
        <v>7</v>
      </c>
      <c r="AD68" s="31"/>
      <c r="AE68" s="31" t="str">
        <f t="shared" si="3"/>
        <v>Neutro</v>
      </c>
    </row>
    <row r="69" spans="1:31" x14ac:dyDescent="0.25">
      <c r="A69" s="16" t="s">
        <v>266</v>
      </c>
      <c r="B69" s="17">
        <v>10113</v>
      </c>
      <c r="C69" s="17">
        <v>2</v>
      </c>
      <c r="D69" s="17" t="s">
        <v>4</v>
      </c>
      <c r="E69" s="17">
        <v>21</v>
      </c>
      <c r="F69" s="17" t="s">
        <v>13</v>
      </c>
      <c r="G69" s="17">
        <v>211</v>
      </c>
      <c r="H69" s="23" t="s">
        <v>153</v>
      </c>
      <c r="I69" s="38" t="s">
        <v>121</v>
      </c>
      <c r="J69" s="24">
        <v>43771</v>
      </c>
      <c r="K69" s="24"/>
      <c r="L69" s="39">
        <v>1587.16</v>
      </c>
      <c r="M69" s="23" t="s">
        <v>225</v>
      </c>
      <c r="N69" s="40">
        <v>1000.49</v>
      </c>
      <c r="O69" s="41">
        <v>0</v>
      </c>
      <c r="P69" s="23">
        <v>81</v>
      </c>
      <c r="Q69" s="23"/>
      <c r="R69" s="38" t="s">
        <v>158</v>
      </c>
      <c r="S69" s="42">
        <v>11055417000203</v>
      </c>
      <c r="T69" s="17">
        <v>2022</v>
      </c>
      <c r="U69" s="43" t="s">
        <v>236</v>
      </c>
      <c r="V69" s="43">
        <v>10</v>
      </c>
      <c r="W69" s="40">
        <v>63985.85</v>
      </c>
      <c r="X69" s="44" t="s">
        <v>211</v>
      </c>
      <c r="Y69" s="45"/>
      <c r="Z69" s="45"/>
      <c r="AA69" s="45"/>
      <c r="AB69" s="45" t="s">
        <v>174</v>
      </c>
      <c r="AC69" s="51">
        <v>8</v>
      </c>
      <c r="AD69" s="45"/>
      <c r="AE69" s="45" t="str">
        <f t="shared" si="3"/>
        <v>Neutro</v>
      </c>
    </row>
    <row r="70" spans="1:31" x14ac:dyDescent="0.25">
      <c r="A70" s="5" t="s">
        <v>266</v>
      </c>
      <c r="B70" s="6">
        <v>10113</v>
      </c>
      <c r="C70" s="6">
        <v>2</v>
      </c>
      <c r="D70" s="6" t="s">
        <v>4</v>
      </c>
      <c r="E70" s="6">
        <v>21</v>
      </c>
      <c r="F70" s="6" t="s">
        <v>13</v>
      </c>
      <c r="G70" s="6">
        <v>211</v>
      </c>
      <c r="H70" s="12" t="s">
        <v>141</v>
      </c>
      <c r="I70" s="14" t="s">
        <v>122</v>
      </c>
      <c r="J70" s="13">
        <v>42795</v>
      </c>
      <c r="K70" s="27"/>
      <c r="L70" s="28">
        <v>1199</v>
      </c>
      <c r="M70" s="12" t="s">
        <v>225</v>
      </c>
      <c r="N70" s="29">
        <v>1000.49</v>
      </c>
      <c r="O70" s="3">
        <v>0</v>
      </c>
      <c r="P70" s="12">
        <v>67</v>
      </c>
      <c r="Q70" s="12"/>
      <c r="R70" s="14" t="s">
        <v>158</v>
      </c>
      <c r="S70" s="30">
        <v>11055417000203</v>
      </c>
      <c r="T70" s="6">
        <v>2022</v>
      </c>
      <c r="U70" s="26" t="s">
        <v>236</v>
      </c>
      <c r="V70" s="26">
        <v>10</v>
      </c>
      <c r="W70" s="29">
        <v>53480.7</v>
      </c>
      <c r="X70" s="4" t="s">
        <v>211</v>
      </c>
      <c r="Y70" s="31" t="s">
        <v>174</v>
      </c>
      <c r="Z70" s="31" t="s">
        <v>215</v>
      </c>
      <c r="AA70" s="31" t="s">
        <v>174</v>
      </c>
      <c r="AB70" s="31" t="s">
        <v>175</v>
      </c>
      <c r="AC70" s="52">
        <v>6</v>
      </c>
      <c r="AD70" s="31"/>
      <c r="AE70" s="31" t="str">
        <f t="shared" si="3"/>
        <v>Detrator</v>
      </c>
    </row>
    <row r="71" spans="1:31" x14ac:dyDescent="0.25">
      <c r="A71" s="16" t="s">
        <v>266</v>
      </c>
      <c r="B71" s="17">
        <v>10113</v>
      </c>
      <c r="C71" s="17">
        <v>2</v>
      </c>
      <c r="D71" s="17" t="s">
        <v>4</v>
      </c>
      <c r="E71" s="17">
        <v>21</v>
      </c>
      <c r="F71" s="17" t="s">
        <v>13</v>
      </c>
      <c r="G71" s="17">
        <v>211</v>
      </c>
      <c r="H71" s="23" t="s">
        <v>153</v>
      </c>
      <c r="I71" s="38" t="s">
        <v>123</v>
      </c>
      <c r="J71" s="24">
        <v>43375</v>
      </c>
      <c r="K71" s="24"/>
      <c r="L71" s="39">
        <v>1144.5</v>
      </c>
      <c r="M71" s="23" t="s">
        <v>226</v>
      </c>
      <c r="N71" s="40">
        <v>896.71</v>
      </c>
      <c r="O71" s="41">
        <v>0</v>
      </c>
      <c r="P71" s="23">
        <v>147</v>
      </c>
      <c r="Q71" s="23" t="s">
        <v>145</v>
      </c>
      <c r="R71" s="38" t="s">
        <v>167</v>
      </c>
      <c r="S71" s="42">
        <v>11055417000187</v>
      </c>
      <c r="T71" s="17">
        <v>2022</v>
      </c>
      <c r="U71" s="43" t="s">
        <v>236</v>
      </c>
      <c r="V71" s="43">
        <v>10</v>
      </c>
      <c r="W71" s="40">
        <v>105282.8</v>
      </c>
      <c r="X71" s="44" t="s">
        <v>211</v>
      </c>
      <c r="Y71" s="45"/>
      <c r="Z71" s="45"/>
      <c r="AA71" s="45"/>
      <c r="AB71" s="45" t="s">
        <v>174</v>
      </c>
      <c r="AC71" s="51">
        <v>7</v>
      </c>
      <c r="AD71" s="45"/>
      <c r="AE71" s="45" t="str">
        <f t="shared" si="3"/>
        <v>Neutro</v>
      </c>
    </row>
    <row r="72" spans="1:31" x14ac:dyDescent="0.25">
      <c r="A72" s="5" t="s">
        <v>266</v>
      </c>
      <c r="B72" s="6">
        <v>10113</v>
      </c>
      <c r="C72" s="6">
        <v>2</v>
      </c>
      <c r="D72" s="6" t="s">
        <v>4</v>
      </c>
      <c r="E72" s="6">
        <v>21</v>
      </c>
      <c r="F72" s="6" t="s">
        <v>13</v>
      </c>
      <c r="G72" s="6">
        <v>211</v>
      </c>
      <c r="H72" s="12" t="s">
        <v>141</v>
      </c>
      <c r="I72" s="14" t="s">
        <v>129</v>
      </c>
      <c r="J72" s="13">
        <v>41732</v>
      </c>
      <c r="K72" s="27"/>
      <c r="L72" s="28">
        <v>1683.08</v>
      </c>
      <c r="M72" s="12" t="s">
        <v>224</v>
      </c>
      <c r="N72" s="29">
        <v>448.81</v>
      </c>
      <c r="O72" s="3">
        <v>8.4420552229480528E-4</v>
      </c>
      <c r="P72" s="12" t="s">
        <v>2</v>
      </c>
      <c r="Q72" s="12"/>
      <c r="R72" s="14" t="s">
        <v>169</v>
      </c>
      <c r="S72" s="30">
        <v>11055417000190</v>
      </c>
      <c r="T72" s="6">
        <v>2022</v>
      </c>
      <c r="U72" s="26" t="s">
        <v>236</v>
      </c>
      <c r="V72" s="26">
        <v>10</v>
      </c>
      <c r="W72" s="29" t="s">
        <v>2</v>
      </c>
      <c r="X72" s="4"/>
      <c r="Y72" s="31"/>
      <c r="Z72" s="31"/>
      <c r="AA72" s="31"/>
      <c r="AB72" s="31" t="s">
        <v>174</v>
      </c>
      <c r="AC72" s="52">
        <v>9</v>
      </c>
      <c r="AD72" s="31"/>
      <c r="AE72" s="31" t="str">
        <f t="shared" si="3"/>
        <v>Promotor</v>
      </c>
    </row>
    <row r="73" spans="1:31" x14ac:dyDescent="0.25">
      <c r="A73" s="16" t="s">
        <v>266</v>
      </c>
      <c r="B73" s="17">
        <v>10113</v>
      </c>
      <c r="C73" s="17">
        <v>2</v>
      </c>
      <c r="D73" s="17" t="s">
        <v>4</v>
      </c>
      <c r="E73" s="17">
        <v>21</v>
      </c>
      <c r="F73" s="17" t="s">
        <v>13</v>
      </c>
      <c r="G73" s="17">
        <v>211</v>
      </c>
      <c r="H73" s="23" t="s">
        <v>153</v>
      </c>
      <c r="I73" s="38" t="s">
        <v>130</v>
      </c>
      <c r="J73" s="24">
        <v>42311</v>
      </c>
      <c r="K73" s="24"/>
      <c r="L73" s="39">
        <v>1828.18</v>
      </c>
      <c r="M73" s="23" t="s">
        <v>224</v>
      </c>
      <c r="N73" s="40">
        <v>448.81</v>
      </c>
      <c r="O73" s="41">
        <v>0</v>
      </c>
      <c r="P73" s="23">
        <v>192</v>
      </c>
      <c r="Q73" s="23"/>
      <c r="R73" s="38" t="s">
        <v>170</v>
      </c>
      <c r="S73" s="42">
        <v>11055417000199</v>
      </c>
      <c r="T73" s="17">
        <v>2022</v>
      </c>
      <c r="U73" s="43" t="s">
        <v>236</v>
      </c>
      <c r="V73" s="43">
        <v>10</v>
      </c>
      <c r="W73" s="40">
        <v>68546.11</v>
      </c>
      <c r="X73" s="44" t="s">
        <v>211</v>
      </c>
      <c r="Y73" s="45" t="s">
        <v>174</v>
      </c>
      <c r="Z73" s="45" t="s">
        <v>215</v>
      </c>
      <c r="AA73" s="45" t="s">
        <v>174</v>
      </c>
      <c r="AB73" s="45" t="s">
        <v>175</v>
      </c>
      <c r="AC73" s="51">
        <v>1</v>
      </c>
      <c r="AD73" s="45"/>
      <c r="AE73" s="45" t="str">
        <f t="shared" si="3"/>
        <v>Detrator</v>
      </c>
    </row>
    <row r="74" spans="1:31" x14ac:dyDescent="0.25">
      <c r="A74" s="16" t="s">
        <v>266</v>
      </c>
      <c r="B74" s="17">
        <v>10113</v>
      </c>
      <c r="C74" s="17">
        <v>2</v>
      </c>
      <c r="D74" s="17" t="s">
        <v>4</v>
      </c>
      <c r="E74" s="17">
        <v>21</v>
      </c>
      <c r="F74" s="17" t="s">
        <v>13</v>
      </c>
      <c r="G74" s="17">
        <v>211</v>
      </c>
      <c r="H74" s="23" t="s">
        <v>141</v>
      </c>
      <c r="I74" s="38" t="s">
        <v>130</v>
      </c>
      <c r="J74" s="24">
        <v>42311</v>
      </c>
      <c r="K74" s="20"/>
      <c r="L74" s="39">
        <v>1828.18</v>
      </c>
      <c r="M74" s="23" t="s">
        <v>225</v>
      </c>
      <c r="N74" s="40">
        <v>909.54</v>
      </c>
      <c r="O74" s="41">
        <v>0</v>
      </c>
      <c r="P74" s="23">
        <v>401</v>
      </c>
      <c r="Q74" s="23" t="s">
        <v>145</v>
      </c>
      <c r="R74" s="38" t="s">
        <v>164</v>
      </c>
      <c r="S74" s="42">
        <v>11055417000188</v>
      </c>
      <c r="T74" s="17">
        <v>2022</v>
      </c>
      <c r="U74" s="43" t="s">
        <v>233</v>
      </c>
      <c r="V74" s="43">
        <v>11</v>
      </c>
      <c r="W74" s="40">
        <v>291051.48</v>
      </c>
      <c r="X74" s="44" t="s">
        <v>211</v>
      </c>
      <c r="Y74" s="45"/>
      <c r="Z74" s="45"/>
      <c r="AA74" s="45"/>
      <c r="AB74" s="45" t="s">
        <v>174</v>
      </c>
      <c r="AC74" s="51">
        <v>9</v>
      </c>
      <c r="AD74" s="45"/>
      <c r="AE74" s="45" t="str">
        <f t="shared" si="3"/>
        <v>Promotor</v>
      </c>
    </row>
    <row r="75" spans="1:31" x14ac:dyDescent="0.25">
      <c r="A75" s="14" t="s">
        <v>266</v>
      </c>
      <c r="B75" s="12">
        <v>10113</v>
      </c>
      <c r="C75" s="12">
        <v>2</v>
      </c>
      <c r="D75" s="12" t="s">
        <v>4</v>
      </c>
      <c r="E75" s="12">
        <v>21</v>
      </c>
      <c r="F75" s="12" t="s">
        <v>13</v>
      </c>
      <c r="G75" s="12">
        <v>211</v>
      </c>
      <c r="H75" s="12" t="s">
        <v>153</v>
      </c>
      <c r="I75" s="14" t="s">
        <v>121</v>
      </c>
      <c r="J75" s="13">
        <v>43771</v>
      </c>
      <c r="K75" s="14"/>
      <c r="L75" s="28">
        <v>1587.16</v>
      </c>
      <c r="M75" s="12" t="s">
        <v>225</v>
      </c>
      <c r="N75" s="29">
        <v>909.54</v>
      </c>
      <c r="O75" s="3">
        <v>0</v>
      </c>
      <c r="P75" s="12">
        <v>38</v>
      </c>
      <c r="Q75" s="12"/>
      <c r="R75" s="14" t="s">
        <v>158</v>
      </c>
      <c r="S75" s="30">
        <v>11055417000203</v>
      </c>
      <c r="T75" s="12">
        <v>2022</v>
      </c>
      <c r="U75" s="26" t="s">
        <v>233</v>
      </c>
      <c r="V75" s="26">
        <v>11</v>
      </c>
      <c r="W75" s="29">
        <v>27286.07</v>
      </c>
      <c r="X75" s="4" t="s">
        <v>211</v>
      </c>
      <c r="Y75" s="12"/>
      <c r="Z75" s="12"/>
      <c r="AA75" s="12"/>
      <c r="AB75" s="31" t="s">
        <v>174</v>
      </c>
      <c r="AC75" s="52">
        <v>7</v>
      </c>
      <c r="AD75" s="11"/>
      <c r="AE75" s="12" t="str">
        <f t="shared" si="3"/>
        <v>Neutro</v>
      </c>
    </row>
    <row r="76" spans="1:31" x14ac:dyDescent="0.25">
      <c r="A76" s="16" t="s">
        <v>266</v>
      </c>
      <c r="B76" s="17">
        <v>10113</v>
      </c>
      <c r="C76" s="17">
        <v>2</v>
      </c>
      <c r="D76" s="17" t="s">
        <v>4</v>
      </c>
      <c r="E76" s="17">
        <v>21</v>
      </c>
      <c r="F76" s="17" t="s">
        <v>13</v>
      </c>
      <c r="G76" s="17">
        <v>211</v>
      </c>
      <c r="H76" s="23" t="s">
        <v>141</v>
      </c>
      <c r="I76" s="38" t="s">
        <v>122</v>
      </c>
      <c r="J76" s="24">
        <v>42795</v>
      </c>
      <c r="K76" s="20"/>
      <c r="L76" s="39">
        <v>1199</v>
      </c>
      <c r="M76" s="23" t="s">
        <v>225</v>
      </c>
      <c r="N76" s="40">
        <v>909.54</v>
      </c>
      <c r="O76" s="41">
        <v>0</v>
      </c>
      <c r="P76" s="23">
        <v>38</v>
      </c>
      <c r="Q76" s="23"/>
      <c r="R76" s="38" t="s">
        <v>158</v>
      </c>
      <c r="S76" s="42">
        <v>11055417000203</v>
      </c>
      <c r="T76" s="17">
        <v>2022</v>
      </c>
      <c r="U76" s="43" t="s">
        <v>233</v>
      </c>
      <c r="V76" s="43">
        <v>11</v>
      </c>
      <c r="W76" s="40">
        <v>27286.07</v>
      </c>
      <c r="X76" s="44" t="s">
        <v>211</v>
      </c>
      <c r="Y76" s="45" t="s">
        <v>174</v>
      </c>
      <c r="Z76" s="45" t="s">
        <v>218</v>
      </c>
      <c r="AA76" s="45" t="s">
        <v>174</v>
      </c>
      <c r="AB76" s="45" t="s">
        <v>175</v>
      </c>
      <c r="AC76" s="51">
        <v>5</v>
      </c>
      <c r="AD76" s="45"/>
      <c r="AE76" s="45" t="str">
        <f t="shared" si="3"/>
        <v>Detrator</v>
      </c>
    </row>
    <row r="77" spans="1:31" x14ac:dyDescent="0.25">
      <c r="A77" s="14" t="s">
        <v>266</v>
      </c>
      <c r="B77" s="12">
        <v>10113</v>
      </c>
      <c r="C77" s="12">
        <v>2</v>
      </c>
      <c r="D77" s="12" t="s">
        <v>4</v>
      </c>
      <c r="E77" s="12">
        <v>21</v>
      </c>
      <c r="F77" s="12" t="s">
        <v>13</v>
      </c>
      <c r="G77" s="12">
        <v>211</v>
      </c>
      <c r="H77" s="12" t="s">
        <v>153</v>
      </c>
      <c r="I77" s="14" t="s">
        <v>123</v>
      </c>
      <c r="J77" s="13">
        <v>43375</v>
      </c>
      <c r="K77" s="14"/>
      <c r="L77" s="28">
        <v>1144.5</v>
      </c>
      <c r="M77" s="12" t="s">
        <v>226</v>
      </c>
      <c r="N77" s="29">
        <v>815.2</v>
      </c>
      <c r="O77" s="3">
        <v>0</v>
      </c>
      <c r="P77" s="12">
        <v>69</v>
      </c>
      <c r="Q77" s="12" t="s">
        <v>145</v>
      </c>
      <c r="R77" s="14" t="s">
        <v>167</v>
      </c>
      <c r="S77" s="30">
        <v>11055417000187</v>
      </c>
      <c r="T77" s="12">
        <v>2022</v>
      </c>
      <c r="U77" s="26" t="s">
        <v>233</v>
      </c>
      <c r="V77" s="26">
        <v>11</v>
      </c>
      <c r="W77" s="29">
        <v>44835.88</v>
      </c>
      <c r="X77" s="4" t="s">
        <v>211</v>
      </c>
      <c r="Y77" s="12"/>
      <c r="Z77" s="12"/>
      <c r="AA77" s="12"/>
      <c r="AB77" s="31" t="s">
        <v>174</v>
      </c>
      <c r="AC77" s="52">
        <v>8</v>
      </c>
      <c r="AD77" s="11"/>
      <c r="AE77" s="12" t="str">
        <f t="shared" si="3"/>
        <v>Neutro</v>
      </c>
    </row>
    <row r="78" spans="1:31" x14ac:dyDescent="0.25">
      <c r="A78" s="16" t="s">
        <v>266</v>
      </c>
      <c r="B78" s="17">
        <v>10113</v>
      </c>
      <c r="C78" s="17">
        <v>2</v>
      </c>
      <c r="D78" s="17" t="s">
        <v>4</v>
      </c>
      <c r="E78" s="17">
        <v>21</v>
      </c>
      <c r="F78" s="17" t="s">
        <v>13</v>
      </c>
      <c r="G78" s="17">
        <v>211</v>
      </c>
      <c r="H78" s="23" t="s">
        <v>141</v>
      </c>
      <c r="I78" s="38" t="s">
        <v>129</v>
      </c>
      <c r="J78" s="24">
        <v>41732</v>
      </c>
      <c r="K78" s="20"/>
      <c r="L78" s="39">
        <v>1683.08</v>
      </c>
      <c r="M78" s="23" t="s">
        <v>224</v>
      </c>
      <c r="N78" s="40">
        <v>408.01</v>
      </c>
      <c r="O78" s="41">
        <v>8.4420552229480528E-4</v>
      </c>
      <c r="P78" s="23" t="s">
        <v>2</v>
      </c>
      <c r="Q78" s="23"/>
      <c r="R78" s="38" t="s">
        <v>169</v>
      </c>
      <c r="S78" s="42">
        <v>11055417000190</v>
      </c>
      <c r="T78" s="17">
        <v>2022</v>
      </c>
      <c r="U78" s="43" t="s">
        <v>233</v>
      </c>
      <c r="V78" s="43">
        <v>11</v>
      </c>
      <c r="W78" s="40" t="s">
        <v>2</v>
      </c>
      <c r="X78" s="44"/>
      <c r="Y78" s="45"/>
      <c r="Z78" s="45"/>
      <c r="AA78" s="45"/>
      <c r="AB78" s="45" t="s">
        <v>174</v>
      </c>
      <c r="AC78" s="51">
        <v>8</v>
      </c>
      <c r="AD78" s="45"/>
      <c r="AE78" s="45" t="str">
        <f t="shared" si="3"/>
        <v>Neutro</v>
      </c>
    </row>
    <row r="79" spans="1:31" x14ac:dyDescent="0.25">
      <c r="A79" s="14" t="s">
        <v>266</v>
      </c>
      <c r="B79" s="12">
        <v>10113</v>
      </c>
      <c r="C79" s="12">
        <v>2</v>
      </c>
      <c r="D79" s="12" t="s">
        <v>4</v>
      </c>
      <c r="E79" s="12">
        <v>21</v>
      </c>
      <c r="F79" s="12" t="s">
        <v>13</v>
      </c>
      <c r="G79" s="12">
        <v>211</v>
      </c>
      <c r="H79" s="12" t="s">
        <v>153</v>
      </c>
      <c r="I79" s="14" t="s">
        <v>130</v>
      </c>
      <c r="J79" s="13">
        <v>42311</v>
      </c>
      <c r="K79" s="14"/>
      <c r="L79" s="28">
        <v>1828.18</v>
      </c>
      <c r="M79" s="12" t="s">
        <v>224</v>
      </c>
      <c r="N79" s="29">
        <v>408.01</v>
      </c>
      <c r="O79" s="3">
        <v>0</v>
      </c>
      <c r="P79" s="12">
        <v>75</v>
      </c>
      <c r="Q79" s="12"/>
      <c r="R79" s="14" t="s">
        <v>170</v>
      </c>
      <c r="S79" s="30">
        <v>11055417000199</v>
      </c>
      <c r="T79" s="12">
        <v>2022</v>
      </c>
      <c r="U79" s="26" t="s">
        <v>234</v>
      </c>
      <c r="V79" s="26">
        <v>11</v>
      </c>
      <c r="W79" s="29">
        <v>24480.75</v>
      </c>
      <c r="X79" s="4" t="s">
        <v>222</v>
      </c>
      <c r="Y79" s="31" t="s">
        <v>174</v>
      </c>
      <c r="Z79" s="31" t="s">
        <v>218</v>
      </c>
      <c r="AA79" s="31" t="s">
        <v>174</v>
      </c>
      <c r="AB79" s="31" t="s">
        <v>175</v>
      </c>
      <c r="AC79" s="52">
        <v>4</v>
      </c>
      <c r="AD79" s="11"/>
      <c r="AE79" s="12" t="str">
        <f t="shared" si="3"/>
        <v>Detrator</v>
      </c>
    </row>
    <row r="80" spans="1:31" x14ac:dyDescent="0.25">
      <c r="A80" s="5" t="s">
        <v>266</v>
      </c>
      <c r="B80" s="6">
        <v>10113</v>
      </c>
      <c r="C80" s="6">
        <v>2</v>
      </c>
      <c r="D80" s="6" t="s">
        <v>4</v>
      </c>
      <c r="E80" s="6">
        <v>21</v>
      </c>
      <c r="F80" s="6" t="s">
        <v>13</v>
      </c>
      <c r="G80" s="6">
        <v>211</v>
      </c>
      <c r="H80" s="12" t="s">
        <v>141</v>
      </c>
      <c r="I80" s="14" t="s">
        <v>130</v>
      </c>
      <c r="J80" s="9">
        <v>42311</v>
      </c>
      <c r="K80" s="27"/>
      <c r="L80" s="28">
        <v>1828.18</v>
      </c>
      <c r="M80" s="12" t="s">
        <v>225</v>
      </c>
      <c r="N80" s="29">
        <v>909.54</v>
      </c>
      <c r="O80" s="3">
        <v>0</v>
      </c>
      <c r="P80" s="12">
        <v>539</v>
      </c>
      <c r="Q80" s="12" t="s">
        <v>145</v>
      </c>
      <c r="R80" s="14" t="s">
        <v>164</v>
      </c>
      <c r="S80" s="30">
        <v>11055417000188</v>
      </c>
      <c r="T80" s="6">
        <v>2022</v>
      </c>
      <c r="U80" s="26" t="s">
        <v>234</v>
      </c>
      <c r="V80" s="26">
        <v>12</v>
      </c>
      <c r="W80" s="29">
        <v>391100.42</v>
      </c>
      <c r="X80" s="4" t="s">
        <v>221</v>
      </c>
      <c r="Y80" s="31"/>
      <c r="Z80" s="31"/>
      <c r="AA80" s="31"/>
      <c r="AB80" s="31" t="s">
        <v>174</v>
      </c>
      <c r="AC80" s="52">
        <v>8</v>
      </c>
      <c r="AD80" s="31"/>
      <c r="AE80" s="31" t="str">
        <f t="shared" si="3"/>
        <v>Neutro</v>
      </c>
    </row>
    <row r="81" spans="1:31" x14ac:dyDescent="0.25">
      <c r="A81" s="16" t="s">
        <v>266</v>
      </c>
      <c r="B81" s="17">
        <v>10113</v>
      </c>
      <c r="C81" s="17">
        <v>2</v>
      </c>
      <c r="D81" s="17" t="s">
        <v>4</v>
      </c>
      <c r="E81" s="17">
        <v>21</v>
      </c>
      <c r="F81" s="17" t="s">
        <v>13</v>
      </c>
      <c r="G81" s="17">
        <v>211</v>
      </c>
      <c r="H81" s="23" t="s">
        <v>153</v>
      </c>
      <c r="I81" s="38" t="s">
        <v>121</v>
      </c>
      <c r="J81" s="24">
        <v>43771</v>
      </c>
      <c r="K81" s="24"/>
      <c r="L81" s="39">
        <v>1587.16</v>
      </c>
      <c r="M81" s="23" t="s">
        <v>225</v>
      </c>
      <c r="N81" s="40">
        <v>909.54</v>
      </c>
      <c r="O81" s="41">
        <v>0</v>
      </c>
      <c r="P81" s="23">
        <v>84</v>
      </c>
      <c r="Q81" s="23"/>
      <c r="R81" s="38" t="s">
        <v>158</v>
      </c>
      <c r="S81" s="42">
        <v>11055417000203</v>
      </c>
      <c r="T81" s="17">
        <v>2022</v>
      </c>
      <c r="U81" s="43" t="s">
        <v>234</v>
      </c>
      <c r="V81" s="43">
        <v>12</v>
      </c>
      <c r="W81" s="40">
        <v>60938.9</v>
      </c>
      <c r="X81" s="44" t="s">
        <v>211</v>
      </c>
      <c r="Y81" s="45"/>
      <c r="Z81" s="45"/>
      <c r="AA81" s="45"/>
      <c r="AB81" s="45" t="s">
        <v>174</v>
      </c>
      <c r="AC81" s="51">
        <v>9</v>
      </c>
      <c r="AD81" s="45"/>
      <c r="AE81" s="45" t="str">
        <f t="shared" si="3"/>
        <v>Promotor</v>
      </c>
    </row>
    <row r="82" spans="1:31" x14ac:dyDescent="0.25">
      <c r="A82" s="5" t="s">
        <v>266</v>
      </c>
      <c r="B82" s="6">
        <v>10113</v>
      </c>
      <c r="C82" s="6">
        <v>2</v>
      </c>
      <c r="D82" s="6" t="s">
        <v>4</v>
      </c>
      <c r="E82" s="6">
        <v>21</v>
      </c>
      <c r="F82" s="6" t="s">
        <v>13</v>
      </c>
      <c r="G82" s="6">
        <v>211</v>
      </c>
      <c r="H82" s="12" t="s">
        <v>141</v>
      </c>
      <c r="I82" s="14" t="s">
        <v>122</v>
      </c>
      <c r="J82" s="13">
        <v>42795</v>
      </c>
      <c r="K82" s="27"/>
      <c r="L82" s="28">
        <v>1199</v>
      </c>
      <c r="M82" s="12" t="s">
        <v>225</v>
      </c>
      <c r="N82" s="29">
        <v>909.54</v>
      </c>
      <c r="O82" s="3">
        <v>0</v>
      </c>
      <c r="P82" s="12">
        <v>70</v>
      </c>
      <c r="Q82" s="12"/>
      <c r="R82" s="14" t="s">
        <v>158</v>
      </c>
      <c r="S82" s="30">
        <v>11055417000203</v>
      </c>
      <c r="T82" s="6">
        <v>2022</v>
      </c>
      <c r="U82" s="26" t="s">
        <v>234</v>
      </c>
      <c r="V82" s="26">
        <v>12</v>
      </c>
      <c r="W82" s="29">
        <v>50934.01</v>
      </c>
      <c r="X82" s="4" t="s">
        <v>211</v>
      </c>
      <c r="Y82" s="31" t="s">
        <v>174</v>
      </c>
      <c r="Z82" s="31" t="s">
        <v>215</v>
      </c>
      <c r="AA82" s="31" t="s">
        <v>174</v>
      </c>
      <c r="AB82" s="31" t="s">
        <v>175</v>
      </c>
      <c r="AC82" s="52">
        <v>4</v>
      </c>
      <c r="AD82" s="31"/>
      <c r="AE82" s="31" t="str">
        <f t="shared" si="3"/>
        <v>Detrator</v>
      </c>
    </row>
    <row r="83" spans="1:31" x14ac:dyDescent="0.25">
      <c r="A83" s="16" t="s">
        <v>266</v>
      </c>
      <c r="B83" s="17">
        <v>10113</v>
      </c>
      <c r="C83" s="17">
        <v>2</v>
      </c>
      <c r="D83" s="17" t="s">
        <v>4</v>
      </c>
      <c r="E83" s="17">
        <v>21</v>
      </c>
      <c r="F83" s="17" t="s">
        <v>13</v>
      </c>
      <c r="G83" s="17">
        <v>211</v>
      </c>
      <c r="H83" s="23" t="s">
        <v>153</v>
      </c>
      <c r="I83" s="38" t="s">
        <v>123</v>
      </c>
      <c r="J83" s="24">
        <v>43375</v>
      </c>
      <c r="K83" s="24"/>
      <c r="L83" s="39">
        <v>1144.5</v>
      </c>
      <c r="M83" s="23" t="s">
        <v>226</v>
      </c>
      <c r="N83" s="40">
        <v>815.2</v>
      </c>
      <c r="O83" s="41">
        <v>0</v>
      </c>
      <c r="P83" s="23">
        <v>154</v>
      </c>
      <c r="Q83" s="23" t="s">
        <v>145</v>
      </c>
      <c r="R83" s="38" t="s">
        <v>167</v>
      </c>
      <c r="S83" s="42">
        <v>11055417000187</v>
      </c>
      <c r="T83" s="17">
        <v>2022</v>
      </c>
      <c r="U83" s="43" t="s">
        <v>234</v>
      </c>
      <c r="V83" s="43">
        <v>12</v>
      </c>
      <c r="W83" s="40">
        <v>100269.33</v>
      </c>
      <c r="X83" s="44" t="s">
        <v>211</v>
      </c>
      <c r="Y83" s="45"/>
      <c r="Z83" s="45"/>
      <c r="AA83" s="45"/>
      <c r="AB83" s="45" t="s">
        <v>174</v>
      </c>
      <c r="AC83" s="51">
        <v>9</v>
      </c>
      <c r="AD83" s="45"/>
      <c r="AE83" s="45" t="str">
        <f t="shared" si="3"/>
        <v>Promotor</v>
      </c>
    </row>
    <row r="84" spans="1:31" x14ac:dyDescent="0.25">
      <c r="A84" s="5" t="s">
        <v>266</v>
      </c>
      <c r="B84" s="6">
        <v>10113</v>
      </c>
      <c r="C84" s="6">
        <v>2</v>
      </c>
      <c r="D84" s="6" t="s">
        <v>4</v>
      </c>
      <c r="E84" s="6">
        <v>21</v>
      </c>
      <c r="F84" s="6" t="s">
        <v>13</v>
      </c>
      <c r="G84" s="6">
        <v>211</v>
      </c>
      <c r="H84" s="12" t="s">
        <v>141</v>
      </c>
      <c r="I84" s="14" t="s">
        <v>129</v>
      </c>
      <c r="J84" s="13">
        <v>41732</v>
      </c>
      <c r="K84" s="27"/>
      <c r="L84" s="28">
        <v>1683.08</v>
      </c>
      <c r="M84" s="12" t="s">
        <v>224</v>
      </c>
      <c r="N84" s="29">
        <v>408.01</v>
      </c>
      <c r="O84" s="3">
        <v>8.4420552229480528E-4</v>
      </c>
      <c r="P84" s="26" t="s">
        <v>2</v>
      </c>
      <c r="Q84" s="12"/>
      <c r="R84" s="14" t="s">
        <v>169</v>
      </c>
      <c r="S84" s="30">
        <v>11055417000190</v>
      </c>
      <c r="T84" s="6">
        <v>2022</v>
      </c>
      <c r="U84" s="12" t="s">
        <v>234</v>
      </c>
      <c r="V84" s="12">
        <v>12</v>
      </c>
      <c r="W84" s="29" t="s">
        <v>2</v>
      </c>
      <c r="X84" s="4"/>
      <c r="Y84" s="31"/>
      <c r="Z84" s="31"/>
      <c r="AA84" s="31"/>
      <c r="AB84" s="31" t="s">
        <v>174</v>
      </c>
      <c r="AC84" s="52">
        <v>9</v>
      </c>
      <c r="AD84" s="31"/>
      <c r="AE84" s="31" t="str">
        <f t="shared" si="3"/>
        <v>Promotor</v>
      </c>
    </row>
    <row r="85" spans="1:31" x14ac:dyDescent="0.25">
      <c r="A85" s="16" t="s">
        <v>266</v>
      </c>
      <c r="B85" s="17">
        <v>10113</v>
      </c>
      <c r="C85" s="17">
        <v>2</v>
      </c>
      <c r="D85" s="17" t="s">
        <v>4</v>
      </c>
      <c r="E85" s="17">
        <v>21</v>
      </c>
      <c r="F85" s="17" t="s">
        <v>13</v>
      </c>
      <c r="G85" s="17">
        <v>211</v>
      </c>
      <c r="H85" s="23" t="s">
        <v>153</v>
      </c>
      <c r="I85" s="38" t="s">
        <v>130</v>
      </c>
      <c r="J85" s="24">
        <v>42311</v>
      </c>
      <c r="K85" s="24"/>
      <c r="L85" s="39">
        <v>1828.18</v>
      </c>
      <c r="M85" s="23" t="s">
        <v>224</v>
      </c>
      <c r="N85" s="40">
        <v>408.01</v>
      </c>
      <c r="O85" s="41">
        <v>0</v>
      </c>
      <c r="P85" s="23">
        <v>200</v>
      </c>
      <c r="Q85" s="23"/>
      <c r="R85" s="38" t="s">
        <v>170</v>
      </c>
      <c r="S85" s="42">
        <v>11055417000199</v>
      </c>
      <c r="T85" s="17">
        <v>2022</v>
      </c>
      <c r="U85" s="43" t="s">
        <v>234</v>
      </c>
      <c r="V85" s="43">
        <v>12</v>
      </c>
      <c r="W85" s="40">
        <v>65282.02</v>
      </c>
      <c r="X85" s="44" t="s">
        <v>211</v>
      </c>
      <c r="Y85" s="45" t="s">
        <v>174</v>
      </c>
      <c r="Z85" s="45" t="s">
        <v>215</v>
      </c>
      <c r="AA85" s="45" t="s">
        <v>174</v>
      </c>
      <c r="AB85" s="45" t="s">
        <v>175</v>
      </c>
      <c r="AC85" s="51">
        <v>5</v>
      </c>
      <c r="AD85" s="45"/>
      <c r="AE85" s="45" t="str">
        <f t="shared" si="3"/>
        <v>Detrator</v>
      </c>
    </row>
    <row r="86" spans="1:31" x14ac:dyDescent="0.25">
      <c r="A86" s="16" t="s">
        <v>266</v>
      </c>
      <c r="B86" s="17">
        <v>10113</v>
      </c>
      <c r="C86" s="17">
        <v>2</v>
      </c>
      <c r="D86" s="17" t="s">
        <v>4</v>
      </c>
      <c r="E86" s="17">
        <v>21</v>
      </c>
      <c r="F86" s="17" t="s">
        <v>13</v>
      </c>
      <c r="G86" s="17">
        <v>211</v>
      </c>
      <c r="H86" s="23" t="s">
        <v>141</v>
      </c>
      <c r="I86" s="38" t="s">
        <v>130</v>
      </c>
      <c r="J86" s="24">
        <v>42311</v>
      </c>
      <c r="K86" s="20"/>
      <c r="L86" s="39">
        <v>1828.18</v>
      </c>
      <c r="M86" s="23" t="s">
        <v>225</v>
      </c>
      <c r="N86" s="40">
        <v>1000.49</v>
      </c>
      <c r="O86" s="41">
        <v>0</v>
      </c>
      <c r="P86" s="43">
        <v>292</v>
      </c>
      <c r="Q86" s="23" t="s">
        <v>145</v>
      </c>
      <c r="R86" s="38" t="s">
        <v>164</v>
      </c>
      <c r="S86" s="42">
        <v>11055417000188</v>
      </c>
      <c r="T86" s="17">
        <v>2023</v>
      </c>
      <c r="U86" s="23" t="s">
        <v>179</v>
      </c>
      <c r="V86" s="23">
        <v>1</v>
      </c>
      <c r="W86" s="40">
        <v>232841.18</v>
      </c>
      <c r="X86" s="44" t="s">
        <v>211</v>
      </c>
      <c r="Y86" s="45"/>
      <c r="Z86" s="45"/>
      <c r="AA86" s="45"/>
      <c r="AB86" s="45" t="s">
        <v>174</v>
      </c>
      <c r="AC86" s="51">
        <v>9</v>
      </c>
      <c r="AD86" s="45"/>
      <c r="AE86" s="45" t="str">
        <f t="shared" si="3"/>
        <v>Promotor</v>
      </c>
    </row>
    <row r="87" spans="1:31" x14ac:dyDescent="0.25">
      <c r="A87" s="14" t="s">
        <v>266</v>
      </c>
      <c r="B87" s="12">
        <v>10113</v>
      </c>
      <c r="C87" s="12">
        <v>2</v>
      </c>
      <c r="D87" s="12" t="s">
        <v>4</v>
      </c>
      <c r="E87" s="12">
        <v>21</v>
      </c>
      <c r="F87" s="12" t="s">
        <v>13</v>
      </c>
      <c r="G87" s="12">
        <v>211</v>
      </c>
      <c r="H87" s="12" t="s">
        <v>153</v>
      </c>
      <c r="I87" s="14" t="s">
        <v>121</v>
      </c>
      <c r="J87" s="13">
        <v>43771</v>
      </c>
      <c r="K87" s="14"/>
      <c r="L87" s="28">
        <v>1587.16</v>
      </c>
      <c r="M87" s="12" t="s">
        <v>225</v>
      </c>
      <c r="N87" s="29">
        <v>1000.49</v>
      </c>
      <c r="O87" s="3">
        <v>0</v>
      </c>
      <c r="P87" s="12">
        <v>28</v>
      </c>
      <c r="Q87" s="12"/>
      <c r="R87" s="14" t="s">
        <v>158</v>
      </c>
      <c r="S87" s="30">
        <v>11055417000203</v>
      </c>
      <c r="T87" s="12">
        <v>2023</v>
      </c>
      <c r="U87" s="26" t="s">
        <v>179</v>
      </c>
      <c r="V87" s="26">
        <v>1</v>
      </c>
      <c r="W87" s="29">
        <v>21828.86</v>
      </c>
      <c r="X87" s="4" t="s">
        <v>211</v>
      </c>
      <c r="Y87" s="12"/>
      <c r="Z87" s="12"/>
      <c r="AA87" s="12"/>
      <c r="AB87" s="31" t="s">
        <v>174</v>
      </c>
      <c r="AC87" s="52">
        <v>9</v>
      </c>
      <c r="AD87" s="11"/>
      <c r="AE87" s="12" t="str">
        <f t="shared" si="3"/>
        <v>Promotor</v>
      </c>
    </row>
    <row r="88" spans="1:31" x14ac:dyDescent="0.25">
      <c r="A88" s="16" t="s">
        <v>266</v>
      </c>
      <c r="B88" s="17">
        <v>10113</v>
      </c>
      <c r="C88" s="17">
        <v>2</v>
      </c>
      <c r="D88" s="17" t="s">
        <v>4</v>
      </c>
      <c r="E88" s="17">
        <v>21</v>
      </c>
      <c r="F88" s="17" t="s">
        <v>13</v>
      </c>
      <c r="G88" s="17">
        <v>211</v>
      </c>
      <c r="H88" s="23" t="s">
        <v>141</v>
      </c>
      <c r="I88" s="38" t="s">
        <v>122</v>
      </c>
      <c r="J88" s="20">
        <v>42795</v>
      </c>
      <c r="K88" s="20"/>
      <c r="L88" s="39">
        <v>1199</v>
      </c>
      <c r="M88" s="23" t="s">
        <v>225</v>
      </c>
      <c r="N88" s="40">
        <v>1000.49</v>
      </c>
      <c r="O88" s="41">
        <v>0</v>
      </c>
      <c r="P88" s="23">
        <v>28</v>
      </c>
      <c r="Q88" s="23"/>
      <c r="R88" s="38" t="s">
        <v>158</v>
      </c>
      <c r="S88" s="42">
        <v>11055417000203</v>
      </c>
      <c r="T88" s="17">
        <v>2023</v>
      </c>
      <c r="U88" s="23" t="s">
        <v>179</v>
      </c>
      <c r="V88" s="23">
        <v>1</v>
      </c>
      <c r="W88" s="40">
        <v>21828.86</v>
      </c>
      <c r="X88" s="44" t="s">
        <v>211</v>
      </c>
      <c r="Y88" s="45" t="s">
        <v>174</v>
      </c>
      <c r="Z88" s="45" t="s">
        <v>218</v>
      </c>
      <c r="AA88" s="45" t="s">
        <v>174</v>
      </c>
      <c r="AB88" s="45" t="s">
        <v>175</v>
      </c>
      <c r="AC88" s="51">
        <v>4</v>
      </c>
      <c r="AD88" s="45"/>
      <c r="AE88" s="45" t="str">
        <f t="shared" si="3"/>
        <v>Detrator</v>
      </c>
    </row>
    <row r="89" spans="1:31" x14ac:dyDescent="0.25">
      <c r="A89" s="14" t="s">
        <v>266</v>
      </c>
      <c r="B89" s="12">
        <v>10113</v>
      </c>
      <c r="C89" s="12">
        <v>2</v>
      </c>
      <c r="D89" s="12" t="s">
        <v>4</v>
      </c>
      <c r="E89" s="12">
        <v>21</v>
      </c>
      <c r="F89" s="12" t="s">
        <v>13</v>
      </c>
      <c r="G89" s="12">
        <v>211</v>
      </c>
      <c r="H89" s="12" t="s">
        <v>153</v>
      </c>
      <c r="I89" s="14" t="s">
        <v>123</v>
      </c>
      <c r="J89" s="13">
        <v>43375</v>
      </c>
      <c r="K89" s="14"/>
      <c r="L89" s="28">
        <v>1144.5</v>
      </c>
      <c r="M89" s="12" t="s">
        <v>226</v>
      </c>
      <c r="N89" s="29">
        <v>896.71</v>
      </c>
      <c r="O89" s="3">
        <v>0</v>
      </c>
      <c r="P89" s="12">
        <v>51</v>
      </c>
      <c r="Q89" s="12" t="s">
        <v>145</v>
      </c>
      <c r="R89" s="14" t="s">
        <v>167</v>
      </c>
      <c r="S89" s="30">
        <v>11055417000187</v>
      </c>
      <c r="T89" s="12">
        <v>2023</v>
      </c>
      <c r="U89" s="26" t="s">
        <v>179</v>
      </c>
      <c r="V89" s="26">
        <v>1</v>
      </c>
      <c r="W89" s="29">
        <v>35868.71</v>
      </c>
      <c r="X89" s="4" t="s">
        <v>211</v>
      </c>
      <c r="Y89" s="12"/>
      <c r="Z89" s="12"/>
      <c r="AA89" s="12"/>
      <c r="AB89" s="31" t="s">
        <v>174</v>
      </c>
      <c r="AC89" s="52">
        <v>7</v>
      </c>
      <c r="AD89" s="11"/>
      <c r="AE89" s="12" t="str">
        <f t="shared" si="3"/>
        <v>Neutro</v>
      </c>
    </row>
    <row r="90" spans="1:31" x14ac:dyDescent="0.25">
      <c r="A90" s="16" t="s">
        <v>266</v>
      </c>
      <c r="B90" s="17">
        <v>10113</v>
      </c>
      <c r="C90" s="17">
        <v>2</v>
      </c>
      <c r="D90" s="17" t="s">
        <v>4</v>
      </c>
      <c r="E90" s="17">
        <v>21</v>
      </c>
      <c r="F90" s="17" t="s">
        <v>13</v>
      </c>
      <c r="G90" s="17">
        <v>211</v>
      </c>
      <c r="H90" s="23" t="s">
        <v>141</v>
      </c>
      <c r="I90" s="38" t="s">
        <v>129</v>
      </c>
      <c r="J90" s="24">
        <v>41732</v>
      </c>
      <c r="K90" s="20"/>
      <c r="L90" s="39">
        <v>1683.08</v>
      </c>
      <c r="M90" s="23" t="s">
        <v>224</v>
      </c>
      <c r="N90" s="40">
        <v>448.81</v>
      </c>
      <c r="O90" s="41">
        <v>8.4420552229480528E-4</v>
      </c>
      <c r="P90" s="23" t="s">
        <v>2</v>
      </c>
      <c r="Q90" s="23"/>
      <c r="R90" s="38" t="s">
        <v>169</v>
      </c>
      <c r="S90" s="42">
        <v>11055417000190</v>
      </c>
      <c r="T90" s="17">
        <v>2023</v>
      </c>
      <c r="U90" s="23" t="s">
        <v>179</v>
      </c>
      <c r="V90" s="23">
        <v>1</v>
      </c>
      <c r="W90" s="40" t="s">
        <v>2</v>
      </c>
      <c r="X90" s="44"/>
      <c r="Y90" s="45"/>
      <c r="Z90" s="45"/>
      <c r="AA90" s="45"/>
      <c r="AB90" s="45" t="s">
        <v>174</v>
      </c>
      <c r="AC90" s="51">
        <v>10</v>
      </c>
      <c r="AD90" s="45"/>
      <c r="AE90" s="45" t="str">
        <f t="shared" si="3"/>
        <v>Promotor</v>
      </c>
    </row>
    <row r="91" spans="1:31" x14ac:dyDescent="0.25">
      <c r="A91" s="14" t="s">
        <v>266</v>
      </c>
      <c r="B91" s="12">
        <v>10113</v>
      </c>
      <c r="C91" s="12">
        <v>2</v>
      </c>
      <c r="D91" s="12" t="s">
        <v>4</v>
      </c>
      <c r="E91" s="12">
        <v>21</v>
      </c>
      <c r="F91" s="12" t="s">
        <v>13</v>
      </c>
      <c r="G91" s="12">
        <v>211</v>
      </c>
      <c r="H91" s="12" t="s">
        <v>153</v>
      </c>
      <c r="I91" s="14" t="s">
        <v>130</v>
      </c>
      <c r="J91" s="13">
        <v>42311</v>
      </c>
      <c r="K91" s="14"/>
      <c r="L91" s="28">
        <v>1828.18</v>
      </c>
      <c r="M91" s="12" t="s">
        <v>224</v>
      </c>
      <c r="N91" s="29">
        <v>448.81</v>
      </c>
      <c r="O91" s="3">
        <v>0</v>
      </c>
      <c r="P91" s="12">
        <v>55</v>
      </c>
      <c r="Q91" s="12"/>
      <c r="R91" s="14" t="s">
        <v>170</v>
      </c>
      <c r="S91" s="30">
        <v>11055417000199</v>
      </c>
      <c r="T91" s="12">
        <v>2023</v>
      </c>
      <c r="U91" s="26" t="s">
        <v>180</v>
      </c>
      <c r="V91" s="26">
        <v>2</v>
      </c>
      <c r="W91" s="29">
        <v>19584.599999999999</v>
      </c>
      <c r="X91" s="4" t="s">
        <v>222</v>
      </c>
      <c r="Y91" s="31" t="s">
        <v>174</v>
      </c>
      <c r="Z91" s="31" t="s">
        <v>218</v>
      </c>
      <c r="AA91" s="31" t="s">
        <v>174</v>
      </c>
      <c r="AB91" s="31" t="s">
        <v>175</v>
      </c>
      <c r="AC91" s="52">
        <v>5</v>
      </c>
      <c r="AD91" s="11"/>
      <c r="AE91" s="12" t="str">
        <f t="shared" si="3"/>
        <v>Detrator</v>
      </c>
    </row>
    <row r="92" spans="1:31" x14ac:dyDescent="0.25">
      <c r="A92" s="5" t="s">
        <v>266</v>
      </c>
      <c r="B92" s="6">
        <v>10113</v>
      </c>
      <c r="C92" s="6">
        <v>2</v>
      </c>
      <c r="D92" s="6" t="s">
        <v>4</v>
      </c>
      <c r="E92" s="6">
        <v>21</v>
      </c>
      <c r="F92" s="6" t="s">
        <v>13</v>
      </c>
      <c r="G92" s="6">
        <v>211</v>
      </c>
      <c r="H92" s="12" t="s">
        <v>141</v>
      </c>
      <c r="I92" s="14" t="s">
        <v>130</v>
      </c>
      <c r="J92" s="13">
        <v>42311</v>
      </c>
      <c r="K92" s="27"/>
      <c r="L92" s="28">
        <v>1828.18</v>
      </c>
      <c r="M92" s="12" t="s">
        <v>225</v>
      </c>
      <c r="N92" s="29">
        <v>1000.49</v>
      </c>
      <c r="O92" s="3">
        <v>0</v>
      </c>
      <c r="P92" s="12">
        <v>392</v>
      </c>
      <c r="Q92" s="12" t="s">
        <v>145</v>
      </c>
      <c r="R92" s="14" t="s">
        <v>164</v>
      </c>
      <c r="S92" s="30">
        <v>11055417000188</v>
      </c>
      <c r="T92" s="6">
        <v>2023</v>
      </c>
      <c r="U92" s="12" t="s">
        <v>180</v>
      </c>
      <c r="V92" s="12">
        <v>2</v>
      </c>
      <c r="W92" s="29">
        <v>312880.33</v>
      </c>
      <c r="X92" s="4" t="s">
        <v>221</v>
      </c>
      <c r="Y92" s="31"/>
      <c r="Z92" s="31"/>
      <c r="AA92" s="31"/>
      <c r="AB92" s="31" t="s">
        <v>174</v>
      </c>
      <c r="AC92" s="52">
        <v>7</v>
      </c>
      <c r="AD92" s="31"/>
      <c r="AE92" s="31" t="str">
        <f t="shared" si="3"/>
        <v>Neutro</v>
      </c>
    </row>
    <row r="93" spans="1:31" x14ac:dyDescent="0.25">
      <c r="A93" s="16" t="s">
        <v>266</v>
      </c>
      <c r="B93" s="17">
        <v>10113</v>
      </c>
      <c r="C93" s="17">
        <v>2</v>
      </c>
      <c r="D93" s="17" t="s">
        <v>4</v>
      </c>
      <c r="E93" s="17">
        <v>21</v>
      </c>
      <c r="F93" s="17" t="s">
        <v>13</v>
      </c>
      <c r="G93" s="17">
        <v>211</v>
      </c>
      <c r="H93" s="23" t="s">
        <v>153</v>
      </c>
      <c r="I93" s="38" t="s">
        <v>121</v>
      </c>
      <c r="J93" s="24">
        <v>43771</v>
      </c>
      <c r="K93" s="24"/>
      <c r="L93" s="39">
        <v>1587.16</v>
      </c>
      <c r="M93" s="23" t="s">
        <v>225</v>
      </c>
      <c r="N93" s="40">
        <v>1000.49</v>
      </c>
      <c r="O93" s="41">
        <v>0</v>
      </c>
      <c r="P93" s="23">
        <v>61</v>
      </c>
      <c r="Q93" s="23"/>
      <c r="R93" s="38" t="s">
        <v>158</v>
      </c>
      <c r="S93" s="42">
        <v>11055417000203</v>
      </c>
      <c r="T93" s="17">
        <v>2023</v>
      </c>
      <c r="U93" s="43" t="s">
        <v>180</v>
      </c>
      <c r="V93" s="43">
        <v>2</v>
      </c>
      <c r="W93" s="40">
        <v>48751.12</v>
      </c>
      <c r="X93" s="44" t="s">
        <v>211</v>
      </c>
      <c r="Y93" s="45"/>
      <c r="Z93" s="45"/>
      <c r="AA93" s="45"/>
      <c r="AB93" s="45" t="s">
        <v>174</v>
      </c>
      <c r="AC93" s="51">
        <v>6</v>
      </c>
      <c r="AD93" s="45"/>
      <c r="AE93" s="45" t="str">
        <f t="shared" si="3"/>
        <v>Detrator</v>
      </c>
    </row>
    <row r="94" spans="1:31" x14ac:dyDescent="0.25">
      <c r="A94" s="5" t="s">
        <v>266</v>
      </c>
      <c r="B94" s="6">
        <v>10113</v>
      </c>
      <c r="C94" s="6">
        <v>2</v>
      </c>
      <c r="D94" s="6" t="s">
        <v>4</v>
      </c>
      <c r="E94" s="6">
        <v>21</v>
      </c>
      <c r="F94" s="6" t="s">
        <v>13</v>
      </c>
      <c r="G94" s="6">
        <v>211</v>
      </c>
      <c r="H94" s="12" t="s">
        <v>141</v>
      </c>
      <c r="I94" s="14" t="s">
        <v>122</v>
      </c>
      <c r="J94" s="13">
        <v>42795</v>
      </c>
      <c r="K94" s="27"/>
      <c r="L94" s="28">
        <v>1199</v>
      </c>
      <c r="M94" s="12" t="s">
        <v>225</v>
      </c>
      <c r="N94" s="29">
        <v>1000.49</v>
      </c>
      <c r="O94" s="3">
        <v>0</v>
      </c>
      <c r="P94" s="12">
        <v>52</v>
      </c>
      <c r="Q94" s="12"/>
      <c r="R94" s="14" t="s">
        <v>158</v>
      </c>
      <c r="S94" s="30">
        <v>11055417000203</v>
      </c>
      <c r="T94" s="6">
        <v>2023</v>
      </c>
      <c r="U94" s="12" t="s">
        <v>180</v>
      </c>
      <c r="V94" s="12">
        <v>2</v>
      </c>
      <c r="W94" s="29">
        <v>40747.199999999997</v>
      </c>
      <c r="X94" s="4" t="s">
        <v>211</v>
      </c>
      <c r="Y94" s="31" t="s">
        <v>174</v>
      </c>
      <c r="Z94" s="31" t="s">
        <v>215</v>
      </c>
      <c r="AA94" s="31" t="s">
        <v>174</v>
      </c>
      <c r="AB94" s="31" t="s">
        <v>175</v>
      </c>
      <c r="AC94" s="52">
        <v>5</v>
      </c>
      <c r="AD94" s="31"/>
      <c r="AE94" s="31" t="str">
        <f t="shared" si="3"/>
        <v>Detrator</v>
      </c>
    </row>
    <row r="95" spans="1:31" x14ac:dyDescent="0.25">
      <c r="A95" s="16" t="s">
        <v>266</v>
      </c>
      <c r="B95" s="17">
        <v>10113</v>
      </c>
      <c r="C95" s="17">
        <v>2</v>
      </c>
      <c r="D95" s="17" t="s">
        <v>4</v>
      </c>
      <c r="E95" s="17">
        <v>21</v>
      </c>
      <c r="F95" s="17" t="s">
        <v>13</v>
      </c>
      <c r="G95" s="17">
        <v>211</v>
      </c>
      <c r="H95" s="23" t="s">
        <v>153</v>
      </c>
      <c r="I95" s="38" t="s">
        <v>123</v>
      </c>
      <c r="J95" s="24">
        <v>43375</v>
      </c>
      <c r="K95" s="24"/>
      <c r="L95" s="39">
        <v>1144.5</v>
      </c>
      <c r="M95" s="23" t="s">
        <v>226</v>
      </c>
      <c r="N95" s="40">
        <v>896.71</v>
      </c>
      <c r="O95" s="41">
        <v>0</v>
      </c>
      <c r="P95" s="23">
        <v>112</v>
      </c>
      <c r="Q95" s="23" t="s">
        <v>145</v>
      </c>
      <c r="R95" s="38" t="s">
        <v>167</v>
      </c>
      <c r="S95" s="42">
        <v>11055417000187</v>
      </c>
      <c r="T95" s="17">
        <v>2023</v>
      </c>
      <c r="U95" s="43" t="s">
        <v>180</v>
      </c>
      <c r="V95" s="43">
        <v>2</v>
      </c>
      <c r="W95" s="40">
        <v>80215.47</v>
      </c>
      <c r="X95" s="44" t="s">
        <v>211</v>
      </c>
      <c r="Y95" s="45"/>
      <c r="Z95" s="45"/>
      <c r="AA95" s="45"/>
      <c r="AB95" s="45" t="s">
        <v>174</v>
      </c>
      <c r="AC95" s="51">
        <v>9</v>
      </c>
      <c r="AD95" s="45"/>
      <c r="AE95" s="45" t="str">
        <f t="shared" si="3"/>
        <v>Promotor</v>
      </c>
    </row>
    <row r="96" spans="1:31" x14ac:dyDescent="0.25">
      <c r="A96" s="5" t="s">
        <v>266</v>
      </c>
      <c r="B96" s="6">
        <v>10113</v>
      </c>
      <c r="C96" s="6">
        <v>2</v>
      </c>
      <c r="D96" s="6" t="s">
        <v>4</v>
      </c>
      <c r="E96" s="6">
        <v>21</v>
      </c>
      <c r="F96" s="6" t="s">
        <v>13</v>
      </c>
      <c r="G96" s="6">
        <v>211</v>
      </c>
      <c r="H96" s="12" t="s">
        <v>141</v>
      </c>
      <c r="I96" s="14" t="s">
        <v>129</v>
      </c>
      <c r="J96" s="13">
        <v>41732</v>
      </c>
      <c r="K96" s="27"/>
      <c r="L96" s="28">
        <v>1683.08</v>
      </c>
      <c r="M96" s="12" t="s">
        <v>224</v>
      </c>
      <c r="N96" s="29">
        <v>448.81</v>
      </c>
      <c r="O96" s="3">
        <v>8.4420552229480528E-4</v>
      </c>
      <c r="P96" s="12" t="s">
        <v>2</v>
      </c>
      <c r="Q96" s="12"/>
      <c r="R96" s="14" t="s">
        <v>169</v>
      </c>
      <c r="S96" s="30">
        <v>11055417000190</v>
      </c>
      <c r="T96" s="6">
        <v>2023</v>
      </c>
      <c r="U96" s="12" t="s">
        <v>180</v>
      </c>
      <c r="V96" s="12">
        <v>2</v>
      </c>
      <c r="W96" s="29" t="s">
        <v>2</v>
      </c>
      <c r="X96" s="4"/>
      <c r="Y96" s="31"/>
      <c r="Z96" s="31"/>
      <c r="AA96" s="31"/>
      <c r="AB96" s="31" t="s">
        <v>174</v>
      </c>
      <c r="AC96" s="52">
        <v>8</v>
      </c>
      <c r="AD96" s="31"/>
      <c r="AE96" s="31" t="str">
        <f t="shared" si="3"/>
        <v>Neutro</v>
      </c>
    </row>
    <row r="97" spans="1:31" x14ac:dyDescent="0.25">
      <c r="A97" s="16" t="s">
        <v>266</v>
      </c>
      <c r="B97" s="17">
        <v>10113</v>
      </c>
      <c r="C97" s="17">
        <v>2</v>
      </c>
      <c r="D97" s="17" t="s">
        <v>4</v>
      </c>
      <c r="E97" s="17">
        <v>21</v>
      </c>
      <c r="F97" s="17" t="s">
        <v>13</v>
      </c>
      <c r="G97" s="17">
        <v>211</v>
      </c>
      <c r="H97" s="23" t="s">
        <v>153</v>
      </c>
      <c r="I97" s="38" t="s">
        <v>130</v>
      </c>
      <c r="J97" s="24">
        <v>42311</v>
      </c>
      <c r="K97" s="24"/>
      <c r="L97" s="39">
        <v>1828.18</v>
      </c>
      <c r="M97" s="23" t="s">
        <v>224</v>
      </c>
      <c r="N97" s="40">
        <v>448.81</v>
      </c>
      <c r="O97" s="41">
        <v>0</v>
      </c>
      <c r="P97" s="23">
        <v>145</v>
      </c>
      <c r="Q97" s="23"/>
      <c r="R97" s="38" t="s">
        <v>170</v>
      </c>
      <c r="S97" s="42">
        <v>11055417000199</v>
      </c>
      <c r="T97" s="17">
        <v>2023</v>
      </c>
      <c r="U97" s="43" t="s">
        <v>180</v>
      </c>
      <c r="V97" s="43">
        <v>2</v>
      </c>
      <c r="W97" s="40">
        <v>52225.61</v>
      </c>
      <c r="X97" s="44" t="s">
        <v>211</v>
      </c>
      <c r="Y97" s="45" t="s">
        <v>174</v>
      </c>
      <c r="Z97" s="45" t="s">
        <v>215</v>
      </c>
      <c r="AA97" s="45" t="s">
        <v>174</v>
      </c>
      <c r="AB97" s="45" t="s">
        <v>175</v>
      </c>
      <c r="AC97" s="51">
        <v>5</v>
      </c>
      <c r="AD97" s="45"/>
      <c r="AE97" s="45" t="str">
        <f t="shared" si="3"/>
        <v>Detrator</v>
      </c>
    </row>
    <row r="98" spans="1:31" x14ac:dyDescent="0.25">
      <c r="A98" s="16" t="s">
        <v>267</v>
      </c>
      <c r="B98" s="17">
        <v>10110</v>
      </c>
      <c r="C98" s="17">
        <v>2</v>
      </c>
      <c r="D98" s="17" t="s">
        <v>4</v>
      </c>
      <c r="E98" s="17">
        <v>21</v>
      </c>
      <c r="F98" s="17" t="s">
        <v>13</v>
      </c>
      <c r="G98" s="17">
        <v>211</v>
      </c>
      <c r="H98" s="23" t="s">
        <v>141</v>
      </c>
      <c r="I98" s="38" t="s">
        <v>88</v>
      </c>
      <c r="J98" s="24">
        <v>42981</v>
      </c>
      <c r="K98" s="20"/>
      <c r="L98" s="39">
        <v>1243.3399999999999</v>
      </c>
      <c r="M98" s="23" t="s">
        <v>225</v>
      </c>
      <c r="N98" s="40">
        <v>840.52</v>
      </c>
      <c r="O98" s="41">
        <f t="shared" ref="O98:O116" si="4">IF(IFERROR((1-W98/(N98*P98)),0)&lt;0,0,IFERROR((1-W98/(N98*P98)),0))</f>
        <v>0.10863513063341723</v>
      </c>
      <c r="P98" s="23">
        <v>14</v>
      </c>
      <c r="Q98" s="23"/>
      <c r="R98" s="38" t="s">
        <v>154</v>
      </c>
      <c r="S98" s="42">
        <v>11055417000177</v>
      </c>
      <c r="T98" s="17">
        <v>2022</v>
      </c>
      <c r="U98" s="23" t="s">
        <v>179</v>
      </c>
      <c r="V98" s="23">
        <v>1</v>
      </c>
      <c r="W98" s="40">
        <v>10488.94</v>
      </c>
      <c r="X98" s="44" t="s">
        <v>211</v>
      </c>
      <c r="Y98" s="45"/>
      <c r="Z98" s="45"/>
      <c r="AA98" s="45"/>
      <c r="AB98" s="45" t="s">
        <v>174</v>
      </c>
      <c r="AC98" s="51">
        <v>3</v>
      </c>
      <c r="AD98" s="45" t="s">
        <v>177</v>
      </c>
      <c r="AE98" s="45" t="str">
        <f t="shared" si="3"/>
        <v>Detrator</v>
      </c>
    </row>
    <row r="99" spans="1:31" x14ac:dyDescent="0.25">
      <c r="A99" s="5" t="s">
        <v>267</v>
      </c>
      <c r="B99" s="6">
        <v>10110</v>
      </c>
      <c r="C99" s="6">
        <v>2</v>
      </c>
      <c r="D99" s="6" t="s">
        <v>4</v>
      </c>
      <c r="E99" s="6">
        <v>21</v>
      </c>
      <c r="F99" s="6" t="s">
        <v>13</v>
      </c>
      <c r="G99" s="6">
        <v>211</v>
      </c>
      <c r="H99" s="12" t="s">
        <v>141</v>
      </c>
      <c r="I99" s="14" t="s">
        <v>89</v>
      </c>
      <c r="J99" s="13">
        <v>44533</v>
      </c>
      <c r="K99" s="14"/>
      <c r="L99" s="28">
        <v>1243.56</v>
      </c>
      <c r="M99" s="12" t="s">
        <v>226</v>
      </c>
      <c r="N99" s="29">
        <v>753.34</v>
      </c>
      <c r="O99" s="3">
        <f t="shared" si="4"/>
        <v>0.10748339191007827</v>
      </c>
      <c r="P99" s="12">
        <v>26</v>
      </c>
      <c r="Q99" s="12"/>
      <c r="R99" s="14" t="s">
        <v>155</v>
      </c>
      <c r="S99" s="30">
        <v>11055417000186</v>
      </c>
      <c r="T99" s="6">
        <v>2022</v>
      </c>
      <c r="U99" s="26" t="s">
        <v>179</v>
      </c>
      <c r="V99" s="26">
        <v>1</v>
      </c>
      <c r="W99" s="29">
        <v>17481.580000000002</v>
      </c>
      <c r="X99" s="4" t="s">
        <v>211</v>
      </c>
      <c r="Y99" s="31" t="s">
        <v>174</v>
      </c>
      <c r="Z99" s="31" t="s">
        <v>216</v>
      </c>
      <c r="AA99" s="31" t="s">
        <v>174</v>
      </c>
      <c r="AB99" s="31" t="s">
        <v>175</v>
      </c>
      <c r="AC99" s="52">
        <v>6</v>
      </c>
      <c r="AD99" s="31" t="s">
        <v>177</v>
      </c>
      <c r="AE99" s="31" t="str">
        <f t="shared" si="3"/>
        <v>Detrator</v>
      </c>
    </row>
    <row r="100" spans="1:31" x14ac:dyDescent="0.25">
      <c r="A100" s="16" t="s">
        <v>267</v>
      </c>
      <c r="B100" s="17">
        <v>10110</v>
      </c>
      <c r="C100" s="17">
        <v>2</v>
      </c>
      <c r="D100" s="17" t="s">
        <v>4</v>
      </c>
      <c r="E100" s="17">
        <v>21</v>
      </c>
      <c r="F100" s="17" t="s">
        <v>13</v>
      </c>
      <c r="G100" s="17">
        <v>211</v>
      </c>
      <c r="H100" s="23" t="s">
        <v>141</v>
      </c>
      <c r="I100" s="38" t="s">
        <v>90</v>
      </c>
      <c r="J100" s="24">
        <v>44533</v>
      </c>
      <c r="K100" s="20"/>
      <c r="L100" s="39">
        <v>1243.3399999999999</v>
      </c>
      <c r="M100" s="23" t="s">
        <v>224</v>
      </c>
      <c r="N100" s="40">
        <v>377.05</v>
      </c>
      <c r="O100" s="41">
        <f t="shared" si="4"/>
        <v>0.13067342969544271</v>
      </c>
      <c r="P100" s="23">
        <v>72</v>
      </c>
      <c r="Q100" s="23"/>
      <c r="R100" s="38" t="s">
        <v>156</v>
      </c>
      <c r="S100" s="42">
        <v>11055417000201</v>
      </c>
      <c r="T100" s="17">
        <v>2022</v>
      </c>
      <c r="U100" s="23" t="s">
        <v>179</v>
      </c>
      <c r="V100" s="23">
        <v>1</v>
      </c>
      <c r="W100" s="40">
        <v>23600.13</v>
      </c>
      <c r="X100" s="44" t="s">
        <v>220</v>
      </c>
      <c r="Y100" s="45"/>
      <c r="Z100" s="45"/>
      <c r="AA100" s="45"/>
      <c r="AB100" s="45" t="s">
        <v>174</v>
      </c>
      <c r="AC100" s="51">
        <v>10</v>
      </c>
      <c r="AD100" s="45" t="s">
        <v>177</v>
      </c>
      <c r="AE100" s="45" t="str">
        <f t="shared" si="3"/>
        <v>Promotor</v>
      </c>
    </row>
    <row r="101" spans="1:31" x14ac:dyDescent="0.25">
      <c r="A101" s="5" t="s">
        <v>267</v>
      </c>
      <c r="B101" s="6">
        <v>10110</v>
      </c>
      <c r="C101" s="6">
        <v>2</v>
      </c>
      <c r="D101" s="6" t="s">
        <v>4</v>
      </c>
      <c r="E101" s="6">
        <v>21</v>
      </c>
      <c r="F101" s="6" t="s">
        <v>13</v>
      </c>
      <c r="G101" s="6">
        <v>211</v>
      </c>
      <c r="H101" s="12" t="s">
        <v>141</v>
      </c>
      <c r="I101" s="14" t="s">
        <v>91</v>
      </c>
      <c r="J101" s="13">
        <v>39265</v>
      </c>
      <c r="K101" s="14"/>
      <c r="L101" s="28">
        <v>1802.01</v>
      </c>
      <c r="M101" s="12" t="s">
        <v>224</v>
      </c>
      <c r="N101" s="29">
        <v>377.05</v>
      </c>
      <c r="O101" s="3">
        <f t="shared" si="4"/>
        <v>0</v>
      </c>
      <c r="P101" s="12" t="s">
        <v>2</v>
      </c>
      <c r="Q101" s="12" t="s">
        <v>145</v>
      </c>
      <c r="R101" s="14" t="s">
        <v>157</v>
      </c>
      <c r="S101" s="30">
        <v>11055417000194</v>
      </c>
      <c r="T101" s="6">
        <v>2022</v>
      </c>
      <c r="U101" s="26" t="s">
        <v>179</v>
      </c>
      <c r="V101" s="26">
        <v>1</v>
      </c>
      <c r="W101" s="29" t="s">
        <v>2</v>
      </c>
      <c r="X101" s="4"/>
      <c r="Y101" s="31"/>
      <c r="Z101" s="31"/>
      <c r="AA101" s="31"/>
      <c r="AB101" s="31" t="s">
        <v>174</v>
      </c>
      <c r="AC101" s="52">
        <v>7</v>
      </c>
      <c r="AD101" s="31" t="s">
        <v>177</v>
      </c>
      <c r="AE101" s="31" t="str">
        <f t="shared" si="3"/>
        <v>Neutro</v>
      </c>
    </row>
    <row r="102" spans="1:31" x14ac:dyDescent="0.25">
      <c r="A102" s="16" t="s">
        <v>267</v>
      </c>
      <c r="B102" s="17">
        <v>10110</v>
      </c>
      <c r="C102" s="17">
        <v>2</v>
      </c>
      <c r="D102" s="17" t="s">
        <v>4</v>
      </c>
      <c r="E102" s="17">
        <v>21</v>
      </c>
      <c r="F102" s="17" t="s">
        <v>13</v>
      </c>
      <c r="G102" s="17">
        <v>211</v>
      </c>
      <c r="H102" s="23" t="s">
        <v>141</v>
      </c>
      <c r="I102" s="38" t="s">
        <v>92</v>
      </c>
      <c r="J102" s="24">
        <v>42554</v>
      </c>
      <c r="K102" s="20"/>
      <c r="L102" s="39">
        <v>1466.73</v>
      </c>
      <c r="M102" s="23" t="s">
        <v>224</v>
      </c>
      <c r="N102" s="40">
        <v>377.05</v>
      </c>
      <c r="O102" s="41">
        <f t="shared" si="4"/>
        <v>0.13067342969544271</v>
      </c>
      <c r="P102" s="23">
        <v>72</v>
      </c>
      <c r="Q102" s="23"/>
      <c r="R102" s="38" t="s">
        <v>158</v>
      </c>
      <c r="S102" s="42">
        <v>11055417000203</v>
      </c>
      <c r="T102" s="17">
        <v>2022</v>
      </c>
      <c r="U102" s="23" t="s">
        <v>179</v>
      </c>
      <c r="V102" s="23">
        <v>1</v>
      </c>
      <c r="W102" s="40">
        <v>23600.13</v>
      </c>
      <c r="X102" s="44" t="s">
        <v>222</v>
      </c>
      <c r="Y102" s="45" t="s">
        <v>174</v>
      </c>
      <c r="Z102" s="45" t="s">
        <v>216</v>
      </c>
      <c r="AA102" s="45" t="s">
        <v>174</v>
      </c>
      <c r="AB102" s="45" t="s">
        <v>175</v>
      </c>
      <c r="AC102" s="51">
        <v>7</v>
      </c>
      <c r="AD102" s="45" t="s">
        <v>177</v>
      </c>
      <c r="AE102" s="45" t="str">
        <f t="shared" si="3"/>
        <v>Neutro</v>
      </c>
    </row>
    <row r="103" spans="1:31" x14ac:dyDescent="0.25">
      <c r="A103" s="5" t="s">
        <v>267</v>
      </c>
      <c r="B103" s="6">
        <v>10110</v>
      </c>
      <c r="C103" s="6">
        <v>2</v>
      </c>
      <c r="D103" s="6" t="s">
        <v>4</v>
      </c>
      <c r="E103" s="6">
        <v>21</v>
      </c>
      <c r="F103" s="6" t="s">
        <v>13</v>
      </c>
      <c r="G103" s="6">
        <v>211</v>
      </c>
      <c r="H103" s="12" t="s">
        <v>141</v>
      </c>
      <c r="I103" s="14" t="s">
        <v>93</v>
      </c>
      <c r="J103" s="13">
        <v>44533</v>
      </c>
      <c r="K103" s="14"/>
      <c r="L103" s="28">
        <v>2014.58</v>
      </c>
      <c r="M103" s="12" t="s">
        <v>224</v>
      </c>
      <c r="N103" s="29">
        <v>377.05</v>
      </c>
      <c r="O103" s="3">
        <f t="shared" si="4"/>
        <v>0.12284197737055447</v>
      </c>
      <c r="P103" s="12">
        <v>37</v>
      </c>
      <c r="Q103" s="12" t="s">
        <v>145</v>
      </c>
      <c r="R103" s="14" t="s">
        <v>159</v>
      </c>
      <c r="S103" s="30">
        <v>11055417000191</v>
      </c>
      <c r="T103" s="6">
        <v>2022</v>
      </c>
      <c r="U103" s="26" t="s">
        <v>179</v>
      </c>
      <c r="V103" s="26">
        <v>1</v>
      </c>
      <c r="W103" s="29">
        <v>12237.1</v>
      </c>
      <c r="X103" s="4" t="s">
        <v>211</v>
      </c>
      <c r="Y103" s="31"/>
      <c r="Z103" s="31"/>
      <c r="AA103" s="31"/>
      <c r="AB103" s="31" t="s">
        <v>174</v>
      </c>
      <c r="AC103" s="52">
        <v>6</v>
      </c>
      <c r="AD103" s="31" t="s">
        <v>177</v>
      </c>
      <c r="AE103" s="31" t="str">
        <f t="shared" si="3"/>
        <v>Detrator</v>
      </c>
    </row>
    <row r="104" spans="1:31" x14ac:dyDescent="0.25">
      <c r="A104" s="14" t="s">
        <v>267</v>
      </c>
      <c r="B104" s="12">
        <v>10110</v>
      </c>
      <c r="C104" s="12">
        <v>2</v>
      </c>
      <c r="D104" s="12" t="s">
        <v>4</v>
      </c>
      <c r="E104" s="12">
        <v>21</v>
      </c>
      <c r="F104" s="12" t="s">
        <v>13</v>
      </c>
      <c r="G104" s="12">
        <v>211</v>
      </c>
      <c r="H104" s="12" t="s">
        <v>141</v>
      </c>
      <c r="I104" s="7" t="s">
        <v>91</v>
      </c>
      <c r="J104" s="13">
        <v>39265</v>
      </c>
      <c r="K104" s="32"/>
      <c r="L104" s="28">
        <v>1802.01</v>
      </c>
      <c r="M104" s="12" t="s">
        <v>225</v>
      </c>
      <c r="N104" s="29">
        <v>840.52</v>
      </c>
      <c r="O104" s="3">
        <f t="shared" si="4"/>
        <v>0.13339493541035441</v>
      </c>
      <c r="P104" s="12">
        <v>18</v>
      </c>
      <c r="Q104" s="12"/>
      <c r="R104" s="14" t="s">
        <v>160</v>
      </c>
      <c r="S104" s="30">
        <v>11055417000178</v>
      </c>
      <c r="T104" s="12">
        <v>2022</v>
      </c>
      <c r="U104" s="12" t="s">
        <v>180</v>
      </c>
      <c r="V104" s="12">
        <v>2</v>
      </c>
      <c r="W104" s="29">
        <v>13111.18</v>
      </c>
      <c r="X104" s="4" t="s">
        <v>211</v>
      </c>
      <c r="Y104" s="12"/>
      <c r="Z104" s="12"/>
      <c r="AA104" s="12"/>
      <c r="AB104" s="31" t="s">
        <v>174</v>
      </c>
      <c r="AC104" s="52">
        <v>8</v>
      </c>
      <c r="AD104" s="31" t="s">
        <v>177</v>
      </c>
      <c r="AE104" s="31" t="str">
        <f t="shared" si="3"/>
        <v>Neutro</v>
      </c>
    </row>
    <row r="105" spans="1:31" x14ac:dyDescent="0.25">
      <c r="A105" s="16" t="s">
        <v>267</v>
      </c>
      <c r="B105" s="17">
        <v>10110</v>
      </c>
      <c r="C105" s="17">
        <v>2</v>
      </c>
      <c r="D105" s="17" t="s">
        <v>4</v>
      </c>
      <c r="E105" s="17">
        <v>21</v>
      </c>
      <c r="F105" s="17" t="s">
        <v>13</v>
      </c>
      <c r="G105" s="17">
        <v>211</v>
      </c>
      <c r="H105" s="23" t="s">
        <v>141</v>
      </c>
      <c r="I105" s="38" t="s">
        <v>91</v>
      </c>
      <c r="J105" s="24">
        <v>39265</v>
      </c>
      <c r="K105" s="24"/>
      <c r="L105" s="39">
        <v>1802.01</v>
      </c>
      <c r="M105" s="23" t="s">
        <v>225</v>
      </c>
      <c r="N105" s="40">
        <v>840.52</v>
      </c>
      <c r="O105" s="41">
        <f t="shared" si="4"/>
        <v>0</v>
      </c>
      <c r="P105" s="23" t="s">
        <v>2</v>
      </c>
      <c r="Q105" s="23" t="s">
        <v>145</v>
      </c>
      <c r="R105" s="38" t="s">
        <v>161</v>
      </c>
      <c r="S105" s="42">
        <v>11055417000197</v>
      </c>
      <c r="T105" s="17">
        <v>2022</v>
      </c>
      <c r="U105" s="43" t="s">
        <v>180</v>
      </c>
      <c r="V105" s="43">
        <v>2</v>
      </c>
      <c r="W105" s="40" t="s">
        <v>2</v>
      </c>
      <c r="X105" s="44"/>
      <c r="Y105" s="45" t="s">
        <v>174</v>
      </c>
      <c r="Z105" s="45" t="s">
        <v>216</v>
      </c>
      <c r="AA105" s="45" t="s">
        <v>174</v>
      </c>
      <c r="AB105" s="45" t="s">
        <v>175</v>
      </c>
      <c r="AC105" s="51">
        <v>5</v>
      </c>
      <c r="AD105" s="45" t="s">
        <v>177</v>
      </c>
      <c r="AE105" s="45" t="str">
        <f t="shared" si="3"/>
        <v>Detrator</v>
      </c>
    </row>
    <row r="106" spans="1:31" x14ac:dyDescent="0.25">
      <c r="A106" s="14" t="s">
        <v>267</v>
      </c>
      <c r="B106" s="12">
        <v>10110</v>
      </c>
      <c r="C106" s="12">
        <v>2</v>
      </c>
      <c r="D106" s="12" t="s">
        <v>4</v>
      </c>
      <c r="E106" s="12">
        <v>21</v>
      </c>
      <c r="F106" s="12" t="s">
        <v>13</v>
      </c>
      <c r="G106" s="12">
        <v>211</v>
      </c>
      <c r="H106" s="12" t="s">
        <v>141</v>
      </c>
      <c r="I106" s="7" t="s">
        <v>92</v>
      </c>
      <c r="J106" s="15">
        <v>42554</v>
      </c>
      <c r="K106" s="32"/>
      <c r="L106" s="28">
        <v>1466.73</v>
      </c>
      <c r="M106" s="12" t="s">
        <v>224</v>
      </c>
      <c r="N106" s="29">
        <v>377.05</v>
      </c>
      <c r="O106" s="3">
        <f t="shared" si="4"/>
        <v>0.13067398223047344</v>
      </c>
      <c r="P106" s="12">
        <v>48</v>
      </c>
      <c r="Q106" s="12"/>
      <c r="R106" s="14" t="s">
        <v>154</v>
      </c>
      <c r="S106" s="30">
        <v>11055417000177</v>
      </c>
      <c r="T106" s="12">
        <v>2022</v>
      </c>
      <c r="U106" s="12" t="s">
        <v>180</v>
      </c>
      <c r="V106" s="12">
        <v>2</v>
      </c>
      <c r="W106" s="29">
        <v>15733.41</v>
      </c>
      <c r="X106" s="4" t="s">
        <v>211</v>
      </c>
      <c r="Y106" s="12"/>
      <c r="Z106" s="12"/>
      <c r="AA106" s="12"/>
      <c r="AB106" s="31" t="s">
        <v>174</v>
      </c>
      <c r="AC106" s="52">
        <v>10</v>
      </c>
      <c r="AD106" s="31" t="s">
        <v>177</v>
      </c>
      <c r="AE106" s="31" t="str">
        <f t="shared" si="3"/>
        <v>Promotor</v>
      </c>
    </row>
    <row r="107" spans="1:31" x14ac:dyDescent="0.25">
      <c r="A107" s="16" t="s">
        <v>267</v>
      </c>
      <c r="B107" s="17">
        <v>10110</v>
      </c>
      <c r="C107" s="17">
        <v>2</v>
      </c>
      <c r="D107" s="17" t="s">
        <v>4</v>
      </c>
      <c r="E107" s="17">
        <v>21</v>
      </c>
      <c r="F107" s="17" t="s">
        <v>13</v>
      </c>
      <c r="G107" s="17">
        <v>211</v>
      </c>
      <c r="H107" s="23" t="s">
        <v>141</v>
      </c>
      <c r="I107" s="38" t="s">
        <v>93</v>
      </c>
      <c r="J107" s="24">
        <v>44533</v>
      </c>
      <c r="K107" s="24"/>
      <c r="L107" s="39">
        <v>2014.58</v>
      </c>
      <c r="M107" s="23" t="s">
        <v>224</v>
      </c>
      <c r="N107" s="40">
        <v>377.05</v>
      </c>
      <c r="O107" s="41">
        <f t="shared" si="4"/>
        <v>0.13499812962768709</v>
      </c>
      <c r="P107" s="23">
        <v>67</v>
      </c>
      <c r="Q107" s="23"/>
      <c r="R107" s="38" t="s">
        <v>155</v>
      </c>
      <c r="S107" s="42">
        <v>11055417000186</v>
      </c>
      <c r="T107" s="17">
        <v>2022</v>
      </c>
      <c r="U107" s="43" t="s">
        <v>180</v>
      </c>
      <c r="V107" s="43">
        <v>2</v>
      </c>
      <c r="W107" s="40">
        <v>21851.98</v>
      </c>
      <c r="X107" s="44" t="s">
        <v>211</v>
      </c>
      <c r="Y107" s="45"/>
      <c r="Z107" s="45"/>
      <c r="AA107" s="45"/>
      <c r="AB107" s="45" t="s">
        <v>174</v>
      </c>
      <c r="AC107" s="51">
        <v>7</v>
      </c>
      <c r="AD107" s="45" t="s">
        <v>177</v>
      </c>
      <c r="AE107" s="45" t="str">
        <f t="shared" si="3"/>
        <v>Neutro</v>
      </c>
    </row>
    <row r="108" spans="1:31" x14ac:dyDescent="0.25">
      <c r="A108" s="14" t="s">
        <v>267</v>
      </c>
      <c r="B108" s="12">
        <v>10110</v>
      </c>
      <c r="C108" s="12">
        <v>2</v>
      </c>
      <c r="D108" s="12" t="s">
        <v>4</v>
      </c>
      <c r="E108" s="12">
        <v>21</v>
      </c>
      <c r="F108" s="12" t="s">
        <v>13</v>
      </c>
      <c r="G108" s="12">
        <v>211</v>
      </c>
      <c r="H108" s="12" t="s">
        <v>141</v>
      </c>
      <c r="I108" s="7" t="s">
        <v>92</v>
      </c>
      <c r="J108" s="15">
        <v>42554</v>
      </c>
      <c r="K108" s="32"/>
      <c r="L108" s="28">
        <v>1466.73</v>
      </c>
      <c r="M108" s="12" t="s">
        <v>224</v>
      </c>
      <c r="N108" s="29">
        <v>377.05</v>
      </c>
      <c r="O108" s="3">
        <f t="shared" si="4"/>
        <v>0</v>
      </c>
      <c r="P108" s="12" t="s">
        <v>2</v>
      </c>
      <c r="Q108" s="12" t="s">
        <v>145</v>
      </c>
      <c r="R108" s="14" t="s">
        <v>158</v>
      </c>
      <c r="S108" s="30">
        <v>11055417000203</v>
      </c>
      <c r="T108" s="12">
        <v>2022</v>
      </c>
      <c r="U108" s="26" t="s">
        <v>180</v>
      </c>
      <c r="V108" s="26">
        <v>2</v>
      </c>
      <c r="W108" s="29" t="s">
        <v>2</v>
      </c>
      <c r="X108" s="4"/>
      <c r="Y108" s="12"/>
      <c r="Z108" s="12"/>
      <c r="AA108" s="12"/>
      <c r="AB108" s="31" t="s">
        <v>174</v>
      </c>
      <c r="AC108" s="52">
        <v>8</v>
      </c>
      <c r="AD108" s="31" t="s">
        <v>177</v>
      </c>
      <c r="AE108" s="31" t="str">
        <f t="shared" si="3"/>
        <v>Neutro</v>
      </c>
    </row>
    <row r="109" spans="1:31" x14ac:dyDescent="0.25">
      <c r="A109" s="16" t="s">
        <v>267</v>
      </c>
      <c r="B109" s="17">
        <v>10110</v>
      </c>
      <c r="C109" s="17">
        <v>2</v>
      </c>
      <c r="D109" s="17" t="s">
        <v>4</v>
      </c>
      <c r="E109" s="17">
        <v>21</v>
      </c>
      <c r="F109" s="17" t="s">
        <v>13</v>
      </c>
      <c r="G109" s="17">
        <v>211</v>
      </c>
      <c r="H109" s="23" t="s">
        <v>153</v>
      </c>
      <c r="I109" s="38" t="s">
        <v>93</v>
      </c>
      <c r="J109" s="24">
        <v>44533</v>
      </c>
      <c r="K109" s="24"/>
      <c r="L109" s="39">
        <v>2014.58</v>
      </c>
      <c r="M109" s="23" t="s">
        <v>224</v>
      </c>
      <c r="N109" s="40">
        <v>377.05</v>
      </c>
      <c r="O109" s="41">
        <f t="shared" si="4"/>
        <v>0.13836666341991222</v>
      </c>
      <c r="P109" s="23">
        <v>113</v>
      </c>
      <c r="Q109" s="23"/>
      <c r="R109" s="38" t="s">
        <v>159</v>
      </c>
      <c r="S109" s="42">
        <v>11055417000191</v>
      </c>
      <c r="T109" s="17">
        <v>2022</v>
      </c>
      <c r="U109" s="43" t="s">
        <v>180</v>
      </c>
      <c r="V109" s="43">
        <v>2</v>
      </c>
      <c r="W109" s="40">
        <v>36711.31</v>
      </c>
      <c r="X109" s="44" t="s">
        <v>211</v>
      </c>
      <c r="Y109" s="45" t="s">
        <v>174</v>
      </c>
      <c r="Z109" s="45" t="s">
        <v>216</v>
      </c>
      <c r="AA109" s="45" t="s">
        <v>175</v>
      </c>
      <c r="AB109" s="45" t="s">
        <v>175</v>
      </c>
      <c r="AC109" s="51">
        <v>1</v>
      </c>
      <c r="AD109" s="45"/>
      <c r="AE109" s="45" t="str">
        <f t="shared" si="3"/>
        <v>Detrator</v>
      </c>
    </row>
    <row r="110" spans="1:31" x14ac:dyDescent="0.25">
      <c r="A110" s="14" t="s">
        <v>267</v>
      </c>
      <c r="B110" s="12">
        <v>10110</v>
      </c>
      <c r="C110" s="12">
        <v>2</v>
      </c>
      <c r="D110" s="12" t="s">
        <v>4</v>
      </c>
      <c r="E110" s="12">
        <v>21</v>
      </c>
      <c r="F110" s="12" t="s">
        <v>13</v>
      </c>
      <c r="G110" s="12">
        <v>211</v>
      </c>
      <c r="H110" s="12" t="s">
        <v>141</v>
      </c>
      <c r="I110" s="7" t="s">
        <v>92</v>
      </c>
      <c r="J110" s="15">
        <v>42554</v>
      </c>
      <c r="K110" s="32"/>
      <c r="L110" s="28">
        <v>1466.73</v>
      </c>
      <c r="M110" s="12" t="s">
        <v>224</v>
      </c>
      <c r="N110" s="29">
        <v>377.05</v>
      </c>
      <c r="O110" s="3">
        <f t="shared" si="4"/>
        <v>0.13067398223047344</v>
      </c>
      <c r="P110" s="12">
        <v>32</v>
      </c>
      <c r="Q110" s="12"/>
      <c r="R110" s="14" t="s">
        <v>160</v>
      </c>
      <c r="S110" s="30">
        <v>11055417000178</v>
      </c>
      <c r="T110" s="12">
        <v>2022</v>
      </c>
      <c r="U110" s="26" t="s">
        <v>181</v>
      </c>
      <c r="V110" s="26">
        <v>3</v>
      </c>
      <c r="W110" s="29">
        <v>10488.94</v>
      </c>
      <c r="X110" s="4" t="s">
        <v>211</v>
      </c>
      <c r="Y110" s="12"/>
      <c r="Z110" s="12"/>
      <c r="AA110" s="12"/>
      <c r="AB110" s="31" t="s">
        <v>174</v>
      </c>
      <c r="AC110" s="52">
        <v>8</v>
      </c>
      <c r="AD110" s="31" t="s">
        <v>177</v>
      </c>
      <c r="AE110" s="31" t="str">
        <f t="shared" si="3"/>
        <v>Neutro</v>
      </c>
    </row>
    <row r="111" spans="1:31" x14ac:dyDescent="0.25">
      <c r="A111" s="16" t="s">
        <v>267</v>
      </c>
      <c r="B111" s="17">
        <v>10110</v>
      </c>
      <c r="C111" s="17">
        <v>2</v>
      </c>
      <c r="D111" s="17" t="s">
        <v>4</v>
      </c>
      <c r="E111" s="17">
        <v>21</v>
      </c>
      <c r="F111" s="17" t="s">
        <v>13</v>
      </c>
      <c r="G111" s="17">
        <v>211</v>
      </c>
      <c r="H111" s="23" t="s">
        <v>153</v>
      </c>
      <c r="I111" s="38" t="s">
        <v>93</v>
      </c>
      <c r="J111" s="24">
        <v>44533</v>
      </c>
      <c r="K111" s="24"/>
      <c r="L111" s="39">
        <v>2014.58</v>
      </c>
      <c r="M111" s="23" t="s">
        <v>224</v>
      </c>
      <c r="N111" s="40">
        <v>377.05</v>
      </c>
      <c r="O111" s="41">
        <f t="shared" si="4"/>
        <v>0.17207077500142076</v>
      </c>
      <c r="P111" s="23">
        <v>14</v>
      </c>
      <c r="Q111" s="23"/>
      <c r="R111" s="38" t="s">
        <v>161</v>
      </c>
      <c r="S111" s="42">
        <v>11055417000197</v>
      </c>
      <c r="T111" s="17">
        <v>2022</v>
      </c>
      <c r="U111" s="43" t="s">
        <v>181</v>
      </c>
      <c r="V111" s="43">
        <v>3</v>
      </c>
      <c r="W111" s="40">
        <v>4370.3900000000003</v>
      </c>
      <c r="X111" s="44" t="s">
        <v>222</v>
      </c>
      <c r="Y111" s="45"/>
      <c r="Z111" s="45"/>
      <c r="AA111" s="45"/>
      <c r="AB111" s="45" t="s">
        <v>174</v>
      </c>
      <c r="AC111" s="51">
        <v>8</v>
      </c>
      <c r="AD111" s="45"/>
      <c r="AE111" s="45" t="str">
        <f t="shared" si="3"/>
        <v>Neutro</v>
      </c>
    </row>
    <row r="112" spans="1:31" x14ac:dyDescent="0.25">
      <c r="A112" s="14" t="s">
        <v>267</v>
      </c>
      <c r="B112" s="12">
        <v>10110</v>
      </c>
      <c r="C112" s="12">
        <v>2</v>
      </c>
      <c r="D112" s="12" t="s">
        <v>4</v>
      </c>
      <c r="E112" s="12">
        <v>21</v>
      </c>
      <c r="F112" s="12" t="s">
        <v>13</v>
      </c>
      <c r="G112" s="12">
        <v>211</v>
      </c>
      <c r="H112" s="12" t="s">
        <v>141</v>
      </c>
      <c r="I112" s="7" t="s">
        <v>92</v>
      </c>
      <c r="J112" s="15">
        <v>42554</v>
      </c>
      <c r="K112" s="32"/>
      <c r="L112" s="28">
        <v>1466.73</v>
      </c>
      <c r="M112" s="12" t="s">
        <v>224</v>
      </c>
      <c r="N112" s="29">
        <v>377.05</v>
      </c>
      <c r="O112" s="3">
        <f t="shared" si="4"/>
        <v>0</v>
      </c>
      <c r="P112" s="12" t="s">
        <v>2</v>
      </c>
      <c r="Q112" s="12" t="s">
        <v>145</v>
      </c>
      <c r="R112" s="14" t="s">
        <v>158</v>
      </c>
      <c r="S112" s="30">
        <v>11055417000203</v>
      </c>
      <c r="T112" s="12">
        <v>2022</v>
      </c>
      <c r="U112" s="26" t="s">
        <v>181</v>
      </c>
      <c r="V112" s="26">
        <v>3</v>
      </c>
      <c r="W112" s="29" t="s">
        <v>2</v>
      </c>
      <c r="X112" s="4"/>
      <c r="Y112" s="12" t="s">
        <v>174</v>
      </c>
      <c r="Z112" s="12" t="s">
        <v>216</v>
      </c>
      <c r="AA112" s="31" t="s">
        <v>174</v>
      </c>
      <c r="AB112" s="12" t="s">
        <v>175</v>
      </c>
      <c r="AC112" s="52">
        <v>1</v>
      </c>
      <c r="AD112" s="31" t="s">
        <v>177</v>
      </c>
      <c r="AE112" s="31" t="str">
        <f t="shared" si="3"/>
        <v>Detrator</v>
      </c>
    </row>
    <row r="113" spans="1:31" x14ac:dyDescent="0.25">
      <c r="A113" s="16" t="s">
        <v>267</v>
      </c>
      <c r="B113" s="17">
        <v>10110</v>
      </c>
      <c r="C113" s="17">
        <v>2</v>
      </c>
      <c r="D113" s="17" t="s">
        <v>4</v>
      </c>
      <c r="E113" s="17">
        <v>21</v>
      </c>
      <c r="F113" s="17" t="s">
        <v>13</v>
      </c>
      <c r="G113" s="17">
        <v>211</v>
      </c>
      <c r="H113" s="23" t="s">
        <v>141</v>
      </c>
      <c r="I113" s="38" t="s">
        <v>93</v>
      </c>
      <c r="J113" s="24">
        <v>44533</v>
      </c>
      <c r="K113" s="24"/>
      <c r="L113" s="39">
        <v>2014.58</v>
      </c>
      <c r="M113" s="23" t="s">
        <v>225</v>
      </c>
      <c r="N113" s="40">
        <v>840.52</v>
      </c>
      <c r="O113" s="41">
        <f t="shared" si="4"/>
        <v>0.14577455452746935</v>
      </c>
      <c r="P113" s="23">
        <v>28</v>
      </c>
      <c r="Q113" s="23"/>
      <c r="R113" s="38" t="s">
        <v>159</v>
      </c>
      <c r="S113" s="42">
        <v>11055417000191</v>
      </c>
      <c r="T113" s="17">
        <v>2022</v>
      </c>
      <c r="U113" s="43" t="s">
        <v>181</v>
      </c>
      <c r="V113" s="43">
        <v>3</v>
      </c>
      <c r="W113" s="40">
        <v>20103.82</v>
      </c>
      <c r="X113" s="44" t="s">
        <v>211</v>
      </c>
      <c r="Y113" s="45"/>
      <c r="Z113" s="45"/>
      <c r="AA113" s="45"/>
      <c r="AB113" s="45" t="s">
        <v>174</v>
      </c>
      <c r="AC113" s="51">
        <v>7</v>
      </c>
      <c r="AD113" s="45" t="s">
        <v>177</v>
      </c>
      <c r="AE113" s="45" t="str">
        <f t="shared" si="3"/>
        <v>Neutro</v>
      </c>
    </row>
    <row r="114" spans="1:31" x14ac:dyDescent="0.25">
      <c r="A114" s="14" t="s">
        <v>267</v>
      </c>
      <c r="B114" s="12">
        <v>10110</v>
      </c>
      <c r="C114" s="12">
        <v>2</v>
      </c>
      <c r="D114" s="12" t="s">
        <v>4</v>
      </c>
      <c r="E114" s="12">
        <v>21</v>
      </c>
      <c r="F114" s="12" t="s">
        <v>13</v>
      </c>
      <c r="G114" s="12">
        <v>211</v>
      </c>
      <c r="H114" s="12" t="s">
        <v>141</v>
      </c>
      <c r="I114" s="7" t="s">
        <v>88</v>
      </c>
      <c r="J114" s="15">
        <v>42981</v>
      </c>
      <c r="K114" s="32"/>
      <c r="L114" s="28">
        <v>1243.3399999999999</v>
      </c>
      <c r="M114" s="12" t="s">
        <v>225</v>
      </c>
      <c r="N114" s="29">
        <v>840.52</v>
      </c>
      <c r="O114" s="3">
        <f t="shared" si="4"/>
        <v>0</v>
      </c>
      <c r="P114" s="12" t="s">
        <v>2</v>
      </c>
      <c r="Q114" s="12" t="s">
        <v>145</v>
      </c>
      <c r="R114" s="14" t="s">
        <v>160</v>
      </c>
      <c r="S114" s="30">
        <v>11055417000178</v>
      </c>
      <c r="T114" s="12">
        <v>2022</v>
      </c>
      <c r="U114" s="26" t="s">
        <v>181</v>
      </c>
      <c r="V114" s="26">
        <v>3</v>
      </c>
      <c r="W114" s="29" t="s">
        <v>2</v>
      </c>
      <c r="X114" s="4"/>
      <c r="Y114" s="12"/>
      <c r="Z114" s="12"/>
      <c r="AA114" s="12"/>
      <c r="AB114" s="31" t="s">
        <v>174</v>
      </c>
      <c r="AC114" s="52">
        <v>8</v>
      </c>
      <c r="AD114" s="31" t="s">
        <v>177</v>
      </c>
      <c r="AE114" s="31" t="str">
        <f t="shared" si="3"/>
        <v>Neutro</v>
      </c>
    </row>
    <row r="115" spans="1:31" x14ac:dyDescent="0.25">
      <c r="A115" s="16" t="s">
        <v>267</v>
      </c>
      <c r="B115" s="17">
        <v>10110</v>
      </c>
      <c r="C115" s="17">
        <v>2</v>
      </c>
      <c r="D115" s="17" t="s">
        <v>4</v>
      </c>
      <c r="E115" s="17">
        <v>21</v>
      </c>
      <c r="F115" s="17" t="s">
        <v>13</v>
      </c>
      <c r="G115" s="17">
        <v>211</v>
      </c>
      <c r="H115" s="23" t="s">
        <v>141</v>
      </c>
      <c r="I115" s="38" t="s">
        <v>89</v>
      </c>
      <c r="J115" s="24">
        <v>44533</v>
      </c>
      <c r="K115" s="24"/>
      <c r="L115" s="39">
        <v>1243.56</v>
      </c>
      <c r="M115" s="23" t="s">
        <v>224</v>
      </c>
      <c r="N115" s="40">
        <v>377.05</v>
      </c>
      <c r="O115" s="41">
        <f t="shared" si="4"/>
        <v>0.1360728637897507</v>
      </c>
      <c r="P115" s="23">
        <v>161</v>
      </c>
      <c r="Q115" s="23" t="s">
        <v>145</v>
      </c>
      <c r="R115" s="38" t="s">
        <v>161</v>
      </c>
      <c r="S115" s="42">
        <v>11055417000197</v>
      </c>
      <c r="T115" s="17">
        <v>2022</v>
      </c>
      <c r="U115" s="43" t="s">
        <v>181</v>
      </c>
      <c r="V115" s="43">
        <v>3</v>
      </c>
      <c r="W115" s="40">
        <v>52444.74</v>
      </c>
      <c r="X115" s="44" t="s">
        <v>211</v>
      </c>
      <c r="Y115" s="45" t="s">
        <v>174</v>
      </c>
      <c r="Z115" s="45" t="s">
        <v>216</v>
      </c>
      <c r="AA115" s="45" t="s">
        <v>175</v>
      </c>
      <c r="AB115" s="45" t="s">
        <v>175</v>
      </c>
      <c r="AC115" s="51">
        <v>9</v>
      </c>
      <c r="AD115" s="45" t="s">
        <v>177</v>
      </c>
      <c r="AE115" s="45" t="str">
        <f t="shared" si="3"/>
        <v>Promotor</v>
      </c>
    </row>
    <row r="116" spans="1:31" x14ac:dyDescent="0.25">
      <c r="A116" s="14" t="s">
        <v>267</v>
      </c>
      <c r="B116" s="12">
        <v>10110</v>
      </c>
      <c r="C116" s="12">
        <v>2</v>
      </c>
      <c r="D116" s="12" t="s">
        <v>4</v>
      </c>
      <c r="E116" s="12">
        <v>21</v>
      </c>
      <c r="F116" s="12" t="s">
        <v>13</v>
      </c>
      <c r="G116" s="12">
        <v>211</v>
      </c>
      <c r="H116" s="12" t="s">
        <v>141</v>
      </c>
      <c r="I116" s="7" t="s">
        <v>88</v>
      </c>
      <c r="J116" s="15">
        <v>42981</v>
      </c>
      <c r="K116" s="32"/>
      <c r="L116" s="28">
        <v>1243.3399999999999</v>
      </c>
      <c r="M116" s="12" t="s">
        <v>224</v>
      </c>
      <c r="N116" s="29">
        <v>377.05</v>
      </c>
      <c r="O116" s="3">
        <f t="shared" si="4"/>
        <v>0</v>
      </c>
      <c r="P116" s="12" t="s">
        <v>2</v>
      </c>
      <c r="Q116" s="12" t="s">
        <v>145</v>
      </c>
      <c r="R116" s="14" t="s">
        <v>161</v>
      </c>
      <c r="S116" s="30">
        <v>11055417000197</v>
      </c>
      <c r="T116" s="12">
        <v>2022</v>
      </c>
      <c r="U116" s="26" t="s">
        <v>181</v>
      </c>
      <c r="V116" s="26">
        <v>3</v>
      </c>
      <c r="W116" s="29" t="s">
        <v>2</v>
      </c>
      <c r="X116" s="4"/>
      <c r="Y116" s="12"/>
      <c r="Z116" s="12"/>
      <c r="AA116" s="12"/>
      <c r="AB116" s="31" t="s">
        <v>174</v>
      </c>
      <c r="AC116" s="52">
        <v>8</v>
      </c>
      <c r="AD116" s="31" t="s">
        <v>177</v>
      </c>
      <c r="AE116" s="31" t="str">
        <f t="shared" si="3"/>
        <v>Neutro</v>
      </c>
    </row>
    <row r="117" spans="1:31" x14ac:dyDescent="0.25">
      <c r="A117" s="16" t="s">
        <v>267</v>
      </c>
      <c r="B117" s="17">
        <v>10110</v>
      </c>
      <c r="C117" s="17">
        <v>2</v>
      </c>
      <c r="D117" s="17" t="s">
        <v>4</v>
      </c>
      <c r="E117" s="17">
        <v>21</v>
      </c>
      <c r="F117" s="17" t="s">
        <v>13</v>
      </c>
      <c r="G117" s="17">
        <v>211</v>
      </c>
      <c r="H117" s="23" t="s">
        <v>141</v>
      </c>
      <c r="I117" s="38" t="s">
        <v>92</v>
      </c>
      <c r="J117" s="24">
        <v>42554</v>
      </c>
      <c r="K117" s="24"/>
      <c r="L117" s="39">
        <v>1466.73</v>
      </c>
      <c r="M117" s="23" t="s">
        <v>224</v>
      </c>
      <c r="N117" s="40">
        <v>377.05</v>
      </c>
      <c r="O117" s="41">
        <v>6.4924292297564579E-3</v>
      </c>
      <c r="P117" s="23" t="s">
        <v>2</v>
      </c>
      <c r="Q117" s="23"/>
      <c r="R117" s="38" t="s">
        <v>160</v>
      </c>
      <c r="S117" s="42">
        <v>11055417000178</v>
      </c>
      <c r="T117" s="17">
        <v>2022</v>
      </c>
      <c r="U117" s="43" t="s">
        <v>208</v>
      </c>
      <c r="V117" s="43">
        <v>4</v>
      </c>
      <c r="W117" s="40" t="s">
        <v>2</v>
      </c>
      <c r="X117" s="44"/>
      <c r="Y117" s="45"/>
      <c r="Z117" s="45"/>
      <c r="AA117" s="45"/>
      <c r="AB117" s="45" t="s">
        <v>174</v>
      </c>
      <c r="AC117" s="51">
        <v>8</v>
      </c>
      <c r="AD117" s="45" t="s">
        <v>177</v>
      </c>
      <c r="AE117" s="45" t="str">
        <f t="shared" si="3"/>
        <v>Neutro</v>
      </c>
    </row>
    <row r="118" spans="1:31" x14ac:dyDescent="0.25">
      <c r="A118" s="5" t="s">
        <v>267</v>
      </c>
      <c r="B118" s="6">
        <v>10110</v>
      </c>
      <c r="C118" s="6">
        <v>2</v>
      </c>
      <c r="D118" s="6" t="s">
        <v>4</v>
      </c>
      <c r="E118" s="6">
        <v>21</v>
      </c>
      <c r="F118" s="6" t="s">
        <v>13</v>
      </c>
      <c r="G118" s="6">
        <v>211</v>
      </c>
      <c r="H118" s="12" t="s">
        <v>153</v>
      </c>
      <c r="I118" s="14" t="s">
        <v>93</v>
      </c>
      <c r="J118" s="13">
        <v>44533</v>
      </c>
      <c r="K118" s="27"/>
      <c r="L118" s="28">
        <v>2014.58</v>
      </c>
      <c r="M118" s="12" t="s">
        <v>224</v>
      </c>
      <c r="N118" s="29">
        <v>377.05</v>
      </c>
      <c r="O118" s="3">
        <v>3.408986175115214E-2</v>
      </c>
      <c r="P118" s="12">
        <v>108</v>
      </c>
      <c r="Q118" s="12"/>
      <c r="R118" s="14" t="s">
        <v>161</v>
      </c>
      <c r="S118" s="30">
        <v>11055417000197</v>
      </c>
      <c r="T118" s="6">
        <v>2022</v>
      </c>
      <c r="U118" s="26" t="s">
        <v>208</v>
      </c>
      <c r="V118" s="26">
        <v>4</v>
      </c>
      <c r="W118" s="29">
        <v>35065.949999999997</v>
      </c>
      <c r="X118" s="31" t="s">
        <v>222</v>
      </c>
      <c r="Y118" s="31"/>
      <c r="Z118" s="31"/>
      <c r="AA118" s="31"/>
      <c r="AB118" s="31" t="s">
        <v>174</v>
      </c>
      <c r="AC118" s="52">
        <v>10</v>
      </c>
      <c r="AD118" s="31"/>
      <c r="AE118" s="31" t="str">
        <f t="shared" si="3"/>
        <v>Promotor</v>
      </c>
    </row>
    <row r="119" spans="1:31" x14ac:dyDescent="0.25">
      <c r="A119" s="16" t="s">
        <v>267</v>
      </c>
      <c r="B119" s="17">
        <v>10110</v>
      </c>
      <c r="C119" s="17">
        <v>2</v>
      </c>
      <c r="D119" s="17" t="s">
        <v>4</v>
      </c>
      <c r="E119" s="17">
        <v>21</v>
      </c>
      <c r="F119" s="17" t="s">
        <v>13</v>
      </c>
      <c r="G119" s="17">
        <v>211</v>
      </c>
      <c r="H119" s="23" t="s">
        <v>141</v>
      </c>
      <c r="I119" s="38" t="s">
        <v>92</v>
      </c>
      <c r="J119" s="24">
        <v>42554</v>
      </c>
      <c r="K119" s="24"/>
      <c r="L119" s="39">
        <v>1466.73</v>
      </c>
      <c r="M119" s="23" t="s">
        <v>224</v>
      </c>
      <c r="N119" s="40">
        <v>377.05</v>
      </c>
      <c r="O119" s="41">
        <v>0</v>
      </c>
      <c r="P119" s="23">
        <v>490</v>
      </c>
      <c r="Q119" s="23" t="s">
        <v>145</v>
      </c>
      <c r="R119" s="38" t="s">
        <v>158</v>
      </c>
      <c r="S119" s="42">
        <v>11055417000203</v>
      </c>
      <c r="T119" s="17">
        <v>2022</v>
      </c>
      <c r="U119" s="43" t="s">
        <v>208</v>
      </c>
      <c r="V119" s="43">
        <v>4</v>
      </c>
      <c r="W119" s="40">
        <v>159493.51</v>
      </c>
      <c r="X119" s="44" t="s">
        <v>211</v>
      </c>
      <c r="Y119" s="45" t="s">
        <v>174</v>
      </c>
      <c r="Z119" s="45" t="s">
        <v>217</v>
      </c>
      <c r="AA119" s="45" t="s">
        <v>174</v>
      </c>
      <c r="AB119" s="45" t="s">
        <v>175</v>
      </c>
      <c r="AC119" s="51">
        <v>3</v>
      </c>
      <c r="AD119" s="45" t="s">
        <v>177</v>
      </c>
      <c r="AE119" s="45" t="str">
        <f t="shared" si="3"/>
        <v>Detrator</v>
      </c>
    </row>
    <row r="120" spans="1:31" x14ac:dyDescent="0.25">
      <c r="A120" s="5" t="s">
        <v>267</v>
      </c>
      <c r="B120" s="6">
        <v>10110</v>
      </c>
      <c r="C120" s="6">
        <v>2</v>
      </c>
      <c r="D120" s="6" t="s">
        <v>4</v>
      </c>
      <c r="E120" s="6">
        <v>21</v>
      </c>
      <c r="F120" s="6" t="s">
        <v>13</v>
      </c>
      <c r="G120" s="6">
        <v>211</v>
      </c>
      <c r="H120" s="12" t="s">
        <v>141</v>
      </c>
      <c r="I120" s="14" t="s">
        <v>93</v>
      </c>
      <c r="J120" s="13">
        <v>44533</v>
      </c>
      <c r="K120" s="27"/>
      <c r="L120" s="28">
        <v>2014.58</v>
      </c>
      <c r="M120" s="12" t="s">
        <v>225</v>
      </c>
      <c r="N120" s="29">
        <v>840.52</v>
      </c>
      <c r="O120" s="3">
        <v>3.4059743660419528E-3</v>
      </c>
      <c r="P120" s="12">
        <v>463</v>
      </c>
      <c r="Q120" s="12"/>
      <c r="R120" s="14" t="s">
        <v>159</v>
      </c>
      <c r="S120" s="30">
        <v>11055417000191</v>
      </c>
      <c r="T120" s="6">
        <v>2022</v>
      </c>
      <c r="U120" s="26" t="s">
        <v>208</v>
      </c>
      <c r="V120" s="26">
        <v>4</v>
      </c>
      <c r="W120" s="29">
        <v>336208.7</v>
      </c>
      <c r="X120" s="4" t="s">
        <v>211</v>
      </c>
      <c r="Y120" s="31"/>
      <c r="Z120" s="31"/>
      <c r="AA120" s="31"/>
      <c r="AB120" s="31" t="s">
        <v>174</v>
      </c>
      <c r="AC120" s="52">
        <v>7</v>
      </c>
      <c r="AD120" s="31" t="s">
        <v>177</v>
      </c>
      <c r="AE120" s="31" t="str">
        <f t="shared" si="3"/>
        <v>Neutro</v>
      </c>
    </row>
    <row r="121" spans="1:31" x14ac:dyDescent="0.25">
      <c r="A121" s="16" t="s">
        <v>267</v>
      </c>
      <c r="B121" s="17">
        <v>10110</v>
      </c>
      <c r="C121" s="17">
        <v>2</v>
      </c>
      <c r="D121" s="17" t="s">
        <v>4</v>
      </c>
      <c r="E121" s="17">
        <v>21</v>
      </c>
      <c r="F121" s="17" t="s">
        <v>13</v>
      </c>
      <c r="G121" s="17">
        <v>211</v>
      </c>
      <c r="H121" s="23" t="s">
        <v>141</v>
      </c>
      <c r="I121" s="38" t="s">
        <v>88</v>
      </c>
      <c r="J121" s="24">
        <v>42981</v>
      </c>
      <c r="K121" s="24"/>
      <c r="L121" s="39">
        <v>1243.3399999999999</v>
      </c>
      <c r="M121" s="23" t="s">
        <v>225</v>
      </c>
      <c r="N121" s="40">
        <v>840.52</v>
      </c>
      <c r="O121" s="41">
        <v>0</v>
      </c>
      <c r="P121" s="23">
        <v>436</v>
      </c>
      <c r="Q121" s="23" t="s">
        <v>145</v>
      </c>
      <c r="R121" s="38" t="s">
        <v>160</v>
      </c>
      <c r="S121" s="42">
        <v>11055417000178</v>
      </c>
      <c r="T121" s="17">
        <v>2022</v>
      </c>
      <c r="U121" s="43" t="s">
        <v>208</v>
      </c>
      <c r="V121" s="43">
        <v>4</v>
      </c>
      <c r="W121" s="40">
        <v>316036.17</v>
      </c>
      <c r="X121" s="44" t="s">
        <v>211</v>
      </c>
      <c r="Y121" s="45"/>
      <c r="Z121" s="45"/>
      <c r="AA121" s="45"/>
      <c r="AB121" s="45" t="s">
        <v>174</v>
      </c>
      <c r="AC121" s="51">
        <v>7</v>
      </c>
      <c r="AD121" s="45" t="s">
        <v>177</v>
      </c>
      <c r="AE121" s="45" t="str">
        <f t="shared" si="3"/>
        <v>Neutro</v>
      </c>
    </row>
    <row r="122" spans="1:31" x14ac:dyDescent="0.25">
      <c r="A122" s="5" t="s">
        <v>267</v>
      </c>
      <c r="B122" s="6">
        <v>10110</v>
      </c>
      <c r="C122" s="6">
        <v>2</v>
      </c>
      <c r="D122" s="6" t="s">
        <v>4</v>
      </c>
      <c r="E122" s="6">
        <v>21</v>
      </c>
      <c r="F122" s="6" t="s">
        <v>13</v>
      </c>
      <c r="G122" s="6">
        <v>211</v>
      </c>
      <c r="H122" s="12" t="s">
        <v>141</v>
      </c>
      <c r="I122" s="14" t="s">
        <v>89</v>
      </c>
      <c r="J122" s="13">
        <v>44533</v>
      </c>
      <c r="K122" s="27"/>
      <c r="L122" s="28">
        <v>1243.56</v>
      </c>
      <c r="M122" s="12" t="s">
        <v>224</v>
      </c>
      <c r="N122" s="29">
        <v>377.05</v>
      </c>
      <c r="O122" s="3">
        <v>0</v>
      </c>
      <c r="P122" s="12">
        <v>174</v>
      </c>
      <c r="Q122" s="12" t="s">
        <v>145</v>
      </c>
      <c r="R122" s="14" t="s">
        <v>161</v>
      </c>
      <c r="S122" s="30">
        <v>11055417000197</v>
      </c>
      <c r="T122" s="6">
        <v>2022</v>
      </c>
      <c r="U122" s="26" t="s">
        <v>208</v>
      </c>
      <c r="V122" s="26">
        <v>4</v>
      </c>
      <c r="W122" s="29">
        <v>62616.67</v>
      </c>
      <c r="X122" s="4" t="s">
        <v>211</v>
      </c>
      <c r="Y122" s="31" t="s">
        <v>174</v>
      </c>
      <c r="Z122" s="31" t="s">
        <v>217</v>
      </c>
      <c r="AA122" s="31" t="s">
        <v>175</v>
      </c>
      <c r="AB122" s="31" t="s">
        <v>175</v>
      </c>
      <c r="AC122" s="52">
        <v>5</v>
      </c>
      <c r="AD122" s="31" t="s">
        <v>177</v>
      </c>
      <c r="AE122" s="31" t="str">
        <f t="shared" si="3"/>
        <v>Detrator</v>
      </c>
    </row>
    <row r="123" spans="1:31" x14ac:dyDescent="0.25">
      <c r="A123" s="16" t="s">
        <v>267</v>
      </c>
      <c r="B123" s="17">
        <v>10110</v>
      </c>
      <c r="C123" s="17">
        <v>2</v>
      </c>
      <c r="D123" s="17" t="s">
        <v>4</v>
      </c>
      <c r="E123" s="17">
        <v>21</v>
      </c>
      <c r="F123" s="17" t="s">
        <v>13</v>
      </c>
      <c r="G123" s="17">
        <v>211</v>
      </c>
      <c r="H123" s="23" t="s">
        <v>141</v>
      </c>
      <c r="I123" s="38" t="s">
        <v>88</v>
      </c>
      <c r="J123" s="24">
        <v>42981</v>
      </c>
      <c r="K123" s="24"/>
      <c r="L123" s="39">
        <v>1243.3399999999999</v>
      </c>
      <c r="M123" s="23" t="s">
        <v>224</v>
      </c>
      <c r="N123" s="40">
        <v>377.05</v>
      </c>
      <c r="O123" s="41">
        <v>0</v>
      </c>
      <c r="P123" s="23" t="s">
        <v>2</v>
      </c>
      <c r="Q123" s="23" t="s">
        <v>145</v>
      </c>
      <c r="R123" s="38" t="s">
        <v>161</v>
      </c>
      <c r="S123" s="42">
        <v>11055417000197</v>
      </c>
      <c r="T123" s="17">
        <v>2022</v>
      </c>
      <c r="U123" s="43" t="s">
        <v>208</v>
      </c>
      <c r="V123" s="43">
        <v>4</v>
      </c>
      <c r="W123" s="40" t="s">
        <v>2</v>
      </c>
      <c r="X123" s="44"/>
      <c r="Y123" s="45"/>
      <c r="Z123" s="45"/>
      <c r="AA123" s="45"/>
      <c r="AB123" s="45" t="s">
        <v>174</v>
      </c>
      <c r="AC123" s="51">
        <v>8</v>
      </c>
      <c r="AD123" s="45" t="s">
        <v>177</v>
      </c>
      <c r="AE123" s="45" t="str">
        <f t="shared" si="3"/>
        <v>Neutro</v>
      </c>
    </row>
    <row r="124" spans="1:31" x14ac:dyDescent="0.25">
      <c r="A124" s="14" t="s">
        <v>267</v>
      </c>
      <c r="B124" s="12">
        <v>10110</v>
      </c>
      <c r="C124" s="12">
        <v>2</v>
      </c>
      <c r="D124" s="12" t="s">
        <v>4</v>
      </c>
      <c r="E124" s="12">
        <v>21</v>
      </c>
      <c r="F124" s="12" t="s">
        <v>13</v>
      </c>
      <c r="G124" s="12">
        <v>211</v>
      </c>
      <c r="H124" s="12" t="s">
        <v>141</v>
      </c>
      <c r="I124" s="7" t="s">
        <v>92</v>
      </c>
      <c r="J124" s="15">
        <v>42554</v>
      </c>
      <c r="K124" s="32"/>
      <c r="L124" s="28">
        <v>1466.73</v>
      </c>
      <c r="M124" s="12" t="s">
        <v>224</v>
      </c>
      <c r="N124" s="29">
        <v>377.05</v>
      </c>
      <c r="O124" s="3">
        <v>6.4924292297564579E-3</v>
      </c>
      <c r="P124" s="12" t="s">
        <v>2</v>
      </c>
      <c r="Q124" s="12"/>
      <c r="R124" s="14" t="s">
        <v>160</v>
      </c>
      <c r="S124" s="30">
        <v>11055417000178</v>
      </c>
      <c r="T124" s="12">
        <v>2022</v>
      </c>
      <c r="U124" s="26" t="s">
        <v>212</v>
      </c>
      <c r="V124" s="26">
        <v>5</v>
      </c>
      <c r="W124" s="29" t="s">
        <v>2</v>
      </c>
      <c r="X124" s="4"/>
      <c r="Y124" s="12"/>
      <c r="Z124" s="12"/>
      <c r="AA124" s="12"/>
      <c r="AB124" s="31" t="s">
        <v>174</v>
      </c>
      <c r="AC124" s="52">
        <v>8</v>
      </c>
      <c r="AD124" s="31" t="s">
        <v>177</v>
      </c>
      <c r="AE124" s="31" t="str">
        <f t="shared" si="3"/>
        <v>Neutro</v>
      </c>
    </row>
    <row r="125" spans="1:31" x14ac:dyDescent="0.25">
      <c r="A125" s="16" t="s">
        <v>267</v>
      </c>
      <c r="B125" s="17">
        <v>10110</v>
      </c>
      <c r="C125" s="17">
        <v>2</v>
      </c>
      <c r="D125" s="17" t="s">
        <v>4</v>
      </c>
      <c r="E125" s="17">
        <v>21</v>
      </c>
      <c r="F125" s="17" t="s">
        <v>13</v>
      </c>
      <c r="G125" s="17">
        <v>211</v>
      </c>
      <c r="H125" s="23" t="s">
        <v>153</v>
      </c>
      <c r="I125" s="38" t="s">
        <v>93</v>
      </c>
      <c r="J125" s="24">
        <v>44533</v>
      </c>
      <c r="K125" s="24"/>
      <c r="L125" s="39">
        <v>2014.58</v>
      </c>
      <c r="M125" s="23" t="s">
        <v>224</v>
      </c>
      <c r="N125" s="40">
        <v>377.05</v>
      </c>
      <c r="O125" s="41">
        <v>3.408986175115214E-2</v>
      </c>
      <c r="P125" s="23">
        <v>116</v>
      </c>
      <c r="Q125" s="23"/>
      <c r="R125" s="38" t="s">
        <v>161</v>
      </c>
      <c r="S125" s="42">
        <v>11055417000197</v>
      </c>
      <c r="T125" s="17">
        <v>2022</v>
      </c>
      <c r="U125" s="43" t="s">
        <v>212</v>
      </c>
      <c r="V125" s="43">
        <v>5</v>
      </c>
      <c r="W125" s="40">
        <v>37705.33</v>
      </c>
      <c r="X125" s="44" t="s">
        <v>211</v>
      </c>
      <c r="Y125" s="45"/>
      <c r="Z125" s="45"/>
      <c r="AA125" s="45"/>
      <c r="AB125" s="45" t="s">
        <v>174</v>
      </c>
      <c r="AC125" s="51">
        <v>2</v>
      </c>
      <c r="AD125" s="45"/>
      <c r="AE125" s="45" t="str">
        <f t="shared" si="3"/>
        <v>Detrator</v>
      </c>
    </row>
    <row r="126" spans="1:31" x14ac:dyDescent="0.25">
      <c r="A126" s="14" t="s">
        <v>267</v>
      </c>
      <c r="B126" s="12">
        <v>10110</v>
      </c>
      <c r="C126" s="12">
        <v>2</v>
      </c>
      <c r="D126" s="12" t="s">
        <v>4</v>
      </c>
      <c r="E126" s="12">
        <v>21</v>
      </c>
      <c r="F126" s="12" t="s">
        <v>13</v>
      </c>
      <c r="G126" s="12">
        <v>211</v>
      </c>
      <c r="H126" s="12" t="s">
        <v>141</v>
      </c>
      <c r="I126" s="7" t="s">
        <v>92</v>
      </c>
      <c r="J126" s="15">
        <v>42554</v>
      </c>
      <c r="K126" s="32"/>
      <c r="L126" s="28">
        <v>1466.73</v>
      </c>
      <c r="M126" s="12" t="s">
        <v>224</v>
      </c>
      <c r="N126" s="29">
        <v>377.05</v>
      </c>
      <c r="O126" s="3">
        <v>0</v>
      </c>
      <c r="P126" s="12">
        <v>139</v>
      </c>
      <c r="Q126" s="12" t="s">
        <v>145</v>
      </c>
      <c r="R126" s="14" t="s">
        <v>158</v>
      </c>
      <c r="S126" s="30">
        <v>11055417000203</v>
      </c>
      <c r="T126" s="12">
        <v>2022</v>
      </c>
      <c r="U126" s="26" t="s">
        <v>212</v>
      </c>
      <c r="V126" s="26">
        <v>5</v>
      </c>
      <c r="W126" s="29">
        <v>45246.38</v>
      </c>
      <c r="X126" s="4" t="s">
        <v>211</v>
      </c>
      <c r="Y126" s="12" t="s">
        <v>174</v>
      </c>
      <c r="Z126" s="12" t="s">
        <v>215</v>
      </c>
      <c r="AA126" s="31" t="s">
        <v>174</v>
      </c>
      <c r="AB126" s="12" t="s">
        <v>175</v>
      </c>
      <c r="AC126" s="52">
        <v>5</v>
      </c>
      <c r="AD126" s="31" t="s">
        <v>177</v>
      </c>
      <c r="AE126" s="31" t="str">
        <f t="shared" si="3"/>
        <v>Detrator</v>
      </c>
    </row>
    <row r="127" spans="1:31" x14ac:dyDescent="0.25">
      <c r="A127" s="16" t="s">
        <v>267</v>
      </c>
      <c r="B127" s="17">
        <v>10110</v>
      </c>
      <c r="C127" s="17">
        <v>2</v>
      </c>
      <c r="D127" s="17" t="s">
        <v>4</v>
      </c>
      <c r="E127" s="17">
        <v>21</v>
      </c>
      <c r="F127" s="17" t="s">
        <v>13</v>
      </c>
      <c r="G127" s="17">
        <v>211</v>
      </c>
      <c r="H127" s="23" t="s">
        <v>141</v>
      </c>
      <c r="I127" s="38" t="s">
        <v>93</v>
      </c>
      <c r="J127" s="24">
        <v>44533</v>
      </c>
      <c r="K127" s="24"/>
      <c r="L127" s="39">
        <v>2014.58</v>
      </c>
      <c r="M127" s="23" t="s">
        <v>225</v>
      </c>
      <c r="N127" s="40">
        <v>840.52</v>
      </c>
      <c r="O127" s="41">
        <v>3.4059743660419528E-3</v>
      </c>
      <c r="P127" s="23">
        <v>521</v>
      </c>
      <c r="Q127" s="23"/>
      <c r="R127" s="38" t="s">
        <v>159</v>
      </c>
      <c r="S127" s="42">
        <v>11055417000191</v>
      </c>
      <c r="T127" s="17">
        <v>2022</v>
      </c>
      <c r="U127" s="43" t="s">
        <v>212</v>
      </c>
      <c r="V127" s="43">
        <v>5</v>
      </c>
      <c r="W127" s="40">
        <v>378234.78</v>
      </c>
      <c r="X127" s="44" t="s">
        <v>211</v>
      </c>
      <c r="Y127" s="45"/>
      <c r="Z127" s="45"/>
      <c r="AA127" s="45"/>
      <c r="AB127" s="45" t="s">
        <v>174</v>
      </c>
      <c r="AC127" s="51">
        <v>8</v>
      </c>
      <c r="AD127" s="45" t="s">
        <v>177</v>
      </c>
      <c r="AE127" s="45" t="str">
        <f t="shared" si="3"/>
        <v>Neutro</v>
      </c>
    </row>
    <row r="128" spans="1:31" x14ac:dyDescent="0.25">
      <c r="A128" s="14" t="s">
        <v>267</v>
      </c>
      <c r="B128" s="12">
        <v>10110</v>
      </c>
      <c r="C128" s="12">
        <v>2</v>
      </c>
      <c r="D128" s="12" t="s">
        <v>4</v>
      </c>
      <c r="E128" s="12">
        <v>21</v>
      </c>
      <c r="F128" s="12" t="s">
        <v>13</v>
      </c>
      <c r="G128" s="12">
        <v>211</v>
      </c>
      <c r="H128" s="12" t="s">
        <v>141</v>
      </c>
      <c r="I128" s="7" t="s">
        <v>88</v>
      </c>
      <c r="J128" s="15">
        <v>42981</v>
      </c>
      <c r="K128" s="32"/>
      <c r="L128" s="28">
        <v>1243.3399999999999</v>
      </c>
      <c r="M128" s="12" t="s">
        <v>225</v>
      </c>
      <c r="N128" s="29">
        <v>840.52</v>
      </c>
      <c r="O128" s="3">
        <v>0</v>
      </c>
      <c r="P128" s="12">
        <v>628</v>
      </c>
      <c r="Q128" s="12" t="s">
        <v>145</v>
      </c>
      <c r="R128" s="14" t="s">
        <v>160</v>
      </c>
      <c r="S128" s="30">
        <v>11055417000178</v>
      </c>
      <c r="T128" s="12">
        <v>2022</v>
      </c>
      <c r="U128" s="26" t="s">
        <v>212</v>
      </c>
      <c r="V128" s="26">
        <v>5</v>
      </c>
      <c r="W128" s="29">
        <v>455562.78</v>
      </c>
      <c r="X128" s="4" t="s">
        <v>211</v>
      </c>
      <c r="Y128" s="12"/>
      <c r="Z128" s="12"/>
      <c r="AA128" s="12"/>
      <c r="AB128" s="31" t="s">
        <v>174</v>
      </c>
      <c r="AC128" s="52">
        <v>0</v>
      </c>
      <c r="AD128" s="31" t="s">
        <v>177</v>
      </c>
      <c r="AE128" s="31" t="str">
        <f t="shared" si="3"/>
        <v>Detrator</v>
      </c>
    </row>
    <row r="129" spans="1:31" x14ac:dyDescent="0.25">
      <c r="A129" s="16" t="s">
        <v>267</v>
      </c>
      <c r="B129" s="17">
        <v>10110</v>
      </c>
      <c r="C129" s="17">
        <v>2</v>
      </c>
      <c r="D129" s="17" t="s">
        <v>4</v>
      </c>
      <c r="E129" s="17">
        <v>21</v>
      </c>
      <c r="F129" s="17" t="s">
        <v>13</v>
      </c>
      <c r="G129" s="17">
        <v>211</v>
      </c>
      <c r="H129" s="23" t="s">
        <v>141</v>
      </c>
      <c r="I129" s="38" t="s">
        <v>89</v>
      </c>
      <c r="J129" s="24">
        <v>44533</v>
      </c>
      <c r="K129" s="24"/>
      <c r="L129" s="39">
        <v>1243.56</v>
      </c>
      <c r="M129" s="23" t="s">
        <v>224</v>
      </c>
      <c r="N129" s="40">
        <v>377.05</v>
      </c>
      <c r="O129" s="41">
        <v>0</v>
      </c>
      <c r="P129" s="23">
        <v>267</v>
      </c>
      <c r="Q129" s="23" t="s">
        <v>145</v>
      </c>
      <c r="R129" s="38" t="s">
        <v>161</v>
      </c>
      <c r="S129" s="42">
        <v>11055417000197</v>
      </c>
      <c r="T129" s="17">
        <v>2022</v>
      </c>
      <c r="U129" s="43" t="s">
        <v>212</v>
      </c>
      <c r="V129" s="43">
        <v>5</v>
      </c>
      <c r="W129" s="40">
        <v>92780.93</v>
      </c>
      <c r="X129" s="44" t="s">
        <v>222</v>
      </c>
      <c r="Y129" s="45" t="s">
        <v>174</v>
      </c>
      <c r="Z129" s="45" t="s">
        <v>215</v>
      </c>
      <c r="AA129" s="45" t="s">
        <v>175</v>
      </c>
      <c r="AB129" s="45" t="s">
        <v>175</v>
      </c>
      <c r="AC129" s="51">
        <v>4</v>
      </c>
      <c r="AD129" s="45" t="s">
        <v>177</v>
      </c>
      <c r="AE129" s="45" t="str">
        <f t="shared" si="3"/>
        <v>Detrator</v>
      </c>
    </row>
    <row r="130" spans="1:31" x14ac:dyDescent="0.25">
      <c r="A130" s="14" t="s">
        <v>267</v>
      </c>
      <c r="B130" s="12">
        <v>10110</v>
      </c>
      <c r="C130" s="12">
        <v>2</v>
      </c>
      <c r="D130" s="12" t="s">
        <v>4</v>
      </c>
      <c r="E130" s="12">
        <v>21</v>
      </c>
      <c r="F130" s="12" t="s">
        <v>13</v>
      </c>
      <c r="G130" s="12">
        <v>211</v>
      </c>
      <c r="H130" s="12" t="s">
        <v>141</v>
      </c>
      <c r="I130" s="7" t="s">
        <v>88</v>
      </c>
      <c r="J130" s="15">
        <v>42981</v>
      </c>
      <c r="K130" s="32"/>
      <c r="L130" s="28">
        <v>1243.3399999999999</v>
      </c>
      <c r="M130" s="12" t="s">
        <v>224</v>
      </c>
      <c r="N130" s="29">
        <v>377.05</v>
      </c>
      <c r="O130" s="3">
        <v>0</v>
      </c>
      <c r="P130" s="12" t="s">
        <v>2</v>
      </c>
      <c r="Q130" s="12" t="s">
        <v>145</v>
      </c>
      <c r="R130" s="14" t="s">
        <v>161</v>
      </c>
      <c r="S130" s="30">
        <v>11055417000197</v>
      </c>
      <c r="T130" s="12">
        <v>2022</v>
      </c>
      <c r="U130" s="26" t="s">
        <v>212</v>
      </c>
      <c r="V130" s="26">
        <v>5</v>
      </c>
      <c r="W130" s="29" t="s">
        <v>2</v>
      </c>
      <c r="X130" s="4"/>
      <c r="Y130" s="12"/>
      <c r="Z130" s="12"/>
      <c r="AA130" s="12"/>
      <c r="AB130" s="31" t="s">
        <v>174</v>
      </c>
      <c r="AC130" s="52">
        <v>9</v>
      </c>
      <c r="AD130" s="31" t="s">
        <v>177</v>
      </c>
      <c r="AE130" s="31" t="str">
        <f t="shared" ref="AE130:AE193" si="5">IF(AC130&lt;&gt;"-",IF(AC130&lt;=6,"Detrator",IF(AC130&gt;=9,"Promotor","Neutro")),"-")</f>
        <v>Promotor</v>
      </c>
    </row>
    <row r="131" spans="1:31" x14ac:dyDescent="0.25">
      <c r="A131" s="14" t="s">
        <v>267</v>
      </c>
      <c r="B131" s="12">
        <v>10110</v>
      </c>
      <c r="C131" s="12">
        <v>2</v>
      </c>
      <c r="D131" s="12" t="s">
        <v>4</v>
      </c>
      <c r="E131" s="12">
        <v>21</v>
      </c>
      <c r="F131" s="12" t="s">
        <v>13</v>
      </c>
      <c r="G131" s="12">
        <v>211</v>
      </c>
      <c r="H131" s="12" t="s">
        <v>141</v>
      </c>
      <c r="I131" s="7" t="s">
        <v>88</v>
      </c>
      <c r="J131" s="15">
        <v>42981</v>
      </c>
      <c r="K131" s="7"/>
      <c r="L131" s="28">
        <v>1243.3399999999999</v>
      </c>
      <c r="M131" s="12" t="s">
        <v>225</v>
      </c>
      <c r="N131" s="29">
        <v>924.58</v>
      </c>
      <c r="O131" s="3">
        <f t="shared" ref="O131:O149" si="6">IF(IFERROR((1-W131/(N131*P131)),0)&lt;0,0,IFERROR((1-W131/(N131*P131)),0))</f>
        <v>0.14915884586978501</v>
      </c>
      <c r="P131" s="12">
        <v>14</v>
      </c>
      <c r="Q131" s="12"/>
      <c r="R131" s="14" t="s">
        <v>154</v>
      </c>
      <c r="S131" s="30">
        <v>11055417000177</v>
      </c>
      <c r="T131" s="12">
        <v>2022</v>
      </c>
      <c r="U131" s="26" t="s">
        <v>228</v>
      </c>
      <c r="V131" s="26">
        <v>6</v>
      </c>
      <c r="W131" s="29">
        <v>11013.39</v>
      </c>
      <c r="X131" s="4" t="s">
        <v>211</v>
      </c>
      <c r="Y131" s="12"/>
      <c r="Z131" s="12"/>
      <c r="AA131" s="12"/>
      <c r="AB131" s="31" t="s">
        <v>174</v>
      </c>
      <c r="AC131" s="52">
        <v>8</v>
      </c>
      <c r="AD131" s="31"/>
      <c r="AE131" s="31" t="str">
        <f t="shared" si="5"/>
        <v>Neutro</v>
      </c>
    </row>
    <row r="132" spans="1:31" x14ac:dyDescent="0.25">
      <c r="A132" s="16" t="s">
        <v>267</v>
      </c>
      <c r="B132" s="17">
        <v>10110</v>
      </c>
      <c r="C132" s="17">
        <v>2</v>
      </c>
      <c r="D132" s="17" t="s">
        <v>4</v>
      </c>
      <c r="E132" s="17">
        <v>21</v>
      </c>
      <c r="F132" s="17" t="s">
        <v>13</v>
      </c>
      <c r="G132" s="17">
        <v>211</v>
      </c>
      <c r="H132" s="23" t="s">
        <v>141</v>
      </c>
      <c r="I132" s="38" t="s">
        <v>89</v>
      </c>
      <c r="J132" s="24">
        <v>44533</v>
      </c>
      <c r="K132" s="20"/>
      <c r="L132" s="39">
        <v>1243.56</v>
      </c>
      <c r="M132" s="23" t="s">
        <v>226</v>
      </c>
      <c r="N132" s="40">
        <v>828.67</v>
      </c>
      <c r="O132" s="41">
        <f t="shared" si="6"/>
        <v>0.11397009666091451</v>
      </c>
      <c r="P132" s="23">
        <v>25</v>
      </c>
      <c r="Q132" s="23"/>
      <c r="R132" s="38" t="s">
        <v>155</v>
      </c>
      <c r="S132" s="42">
        <v>11055417000186</v>
      </c>
      <c r="T132" s="17">
        <v>2022</v>
      </c>
      <c r="U132" s="43" t="s">
        <v>228</v>
      </c>
      <c r="V132" s="43">
        <v>6</v>
      </c>
      <c r="W132" s="40">
        <v>18355.66</v>
      </c>
      <c r="X132" s="44" t="s">
        <v>211</v>
      </c>
      <c r="Y132" s="45" t="s">
        <v>174</v>
      </c>
      <c r="Z132" s="45" t="s">
        <v>216</v>
      </c>
      <c r="AA132" s="45" t="s">
        <v>174</v>
      </c>
      <c r="AB132" s="45" t="s">
        <v>175</v>
      </c>
      <c r="AC132" s="51">
        <v>3</v>
      </c>
      <c r="AD132" s="45"/>
      <c r="AE132" s="45" t="str">
        <f t="shared" si="5"/>
        <v>Detrator</v>
      </c>
    </row>
    <row r="133" spans="1:31" x14ac:dyDescent="0.25">
      <c r="A133" s="14" t="s">
        <v>267</v>
      </c>
      <c r="B133" s="12">
        <v>10110</v>
      </c>
      <c r="C133" s="12">
        <v>2</v>
      </c>
      <c r="D133" s="12" t="s">
        <v>4</v>
      </c>
      <c r="E133" s="12">
        <v>21</v>
      </c>
      <c r="F133" s="12" t="s">
        <v>13</v>
      </c>
      <c r="G133" s="12">
        <v>211</v>
      </c>
      <c r="H133" s="12" t="s">
        <v>141</v>
      </c>
      <c r="I133" s="7" t="s">
        <v>90</v>
      </c>
      <c r="J133" s="15">
        <v>44533</v>
      </c>
      <c r="K133" s="7"/>
      <c r="L133" s="28">
        <v>1243.3399999999999</v>
      </c>
      <c r="M133" s="12" t="s">
        <v>224</v>
      </c>
      <c r="N133" s="29">
        <v>414.76</v>
      </c>
      <c r="O133" s="3">
        <f t="shared" si="6"/>
        <v>0.13412016867446297</v>
      </c>
      <c r="P133" s="12">
        <v>69</v>
      </c>
      <c r="Q133" s="12"/>
      <c r="R133" s="14" t="s">
        <v>156</v>
      </c>
      <c r="S133" s="30">
        <v>11055417000201</v>
      </c>
      <c r="T133" s="12">
        <v>2022</v>
      </c>
      <c r="U133" s="26" t="s">
        <v>228</v>
      </c>
      <c r="V133" s="26">
        <v>6</v>
      </c>
      <c r="W133" s="29">
        <v>24780.13</v>
      </c>
      <c r="X133" s="4" t="s">
        <v>211</v>
      </c>
      <c r="Y133" s="12"/>
      <c r="Z133" s="12"/>
      <c r="AA133" s="12"/>
      <c r="AB133" s="31" t="s">
        <v>174</v>
      </c>
      <c r="AC133" s="52">
        <v>8</v>
      </c>
      <c r="AD133" s="31"/>
      <c r="AE133" s="31" t="str">
        <f t="shared" si="5"/>
        <v>Neutro</v>
      </c>
    </row>
    <row r="134" spans="1:31" x14ac:dyDescent="0.25">
      <c r="A134" s="16" t="s">
        <v>267</v>
      </c>
      <c r="B134" s="17">
        <v>10110</v>
      </c>
      <c r="C134" s="17">
        <v>2</v>
      </c>
      <c r="D134" s="17" t="s">
        <v>4</v>
      </c>
      <c r="E134" s="17">
        <v>21</v>
      </c>
      <c r="F134" s="17" t="s">
        <v>13</v>
      </c>
      <c r="G134" s="17">
        <v>211</v>
      </c>
      <c r="H134" s="23" t="s">
        <v>141</v>
      </c>
      <c r="I134" s="60" t="s">
        <v>91</v>
      </c>
      <c r="J134" s="24">
        <v>39265</v>
      </c>
      <c r="K134" s="20"/>
      <c r="L134" s="39">
        <v>1802.01</v>
      </c>
      <c r="M134" s="23" t="s">
        <v>224</v>
      </c>
      <c r="N134" s="40">
        <v>414.76</v>
      </c>
      <c r="O134" s="41">
        <f t="shared" si="6"/>
        <v>0</v>
      </c>
      <c r="P134" s="23" t="s">
        <v>2</v>
      </c>
      <c r="Q134" s="23" t="s">
        <v>145</v>
      </c>
      <c r="R134" s="38" t="s">
        <v>157</v>
      </c>
      <c r="S134" s="42">
        <v>11055417000194</v>
      </c>
      <c r="T134" s="17">
        <v>2022</v>
      </c>
      <c r="U134" s="43" t="s">
        <v>228</v>
      </c>
      <c r="V134" s="43">
        <v>6</v>
      </c>
      <c r="W134" s="40" t="s">
        <v>2</v>
      </c>
      <c r="X134" s="44"/>
      <c r="Y134" s="45"/>
      <c r="Z134" s="45"/>
      <c r="AA134" s="45"/>
      <c r="AB134" s="45" t="s">
        <v>174</v>
      </c>
      <c r="AC134" s="51">
        <v>8</v>
      </c>
      <c r="AD134" s="45"/>
      <c r="AE134" s="45" t="str">
        <f t="shared" si="5"/>
        <v>Neutro</v>
      </c>
    </row>
    <row r="135" spans="1:31" x14ac:dyDescent="0.25">
      <c r="A135" s="14" t="s">
        <v>267</v>
      </c>
      <c r="B135" s="12">
        <v>10110</v>
      </c>
      <c r="C135" s="12">
        <v>2</v>
      </c>
      <c r="D135" s="12" t="s">
        <v>4</v>
      </c>
      <c r="E135" s="12">
        <v>21</v>
      </c>
      <c r="F135" s="12" t="s">
        <v>13</v>
      </c>
      <c r="G135" s="12">
        <v>211</v>
      </c>
      <c r="H135" s="12" t="s">
        <v>141</v>
      </c>
      <c r="I135" s="7" t="s">
        <v>92</v>
      </c>
      <c r="J135" s="15">
        <v>42554</v>
      </c>
      <c r="K135" s="7"/>
      <c r="L135" s="28">
        <v>1466.73</v>
      </c>
      <c r="M135" s="12" t="s">
        <v>224</v>
      </c>
      <c r="N135" s="29">
        <v>414.76</v>
      </c>
      <c r="O135" s="3">
        <f t="shared" si="6"/>
        <v>0.13412016867446297</v>
      </c>
      <c r="P135" s="12">
        <v>69</v>
      </c>
      <c r="Q135" s="12"/>
      <c r="R135" s="14" t="s">
        <v>158</v>
      </c>
      <c r="S135" s="30">
        <v>11055417000203</v>
      </c>
      <c r="T135" s="12">
        <v>2022</v>
      </c>
      <c r="U135" s="26" t="s">
        <v>228</v>
      </c>
      <c r="V135" s="26">
        <v>6</v>
      </c>
      <c r="W135" s="29">
        <v>24780.13</v>
      </c>
      <c r="X135" s="4" t="s">
        <v>222</v>
      </c>
      <c r="Y135" s="12" t="s">
        <v>174</v>
      </c>
      <c r="Z135" s="12" t="s">
        <v>216</v>
      </c>
      <c r="AA135" s="31" t="s">
        <v>174</v>
      </c>
      <c r="AB135" s="12" t="s">
        <v>175</v>
      </c>
      <c r="AC135" s="52">
        <v>3</v>
      </c>
      <c r="AD135" s="31"/>
      <c r="AE135" s="31" t="str">
        <f t="shared" si="5"/>
        <v>Detrator</v>
      </c>
    </row>
    <row r="136" spans="1:31" x14ac:dyDescent="0.25">
      <c r="A136" s="16" t="s">
        <v>267</v>
      </c>
      <c r="B136" s="17">
        <v>10110</v>
      </c>
      <c r="C136" s="17">
        <v>2</v>
      </c>
      <c r="D136" s="17" t="s">
        <v>4</v>
      </c>
      <c r="E136" s="17">
        <v>21</v>
      </c>
      <c r="F136" s="17" t="s">
        <v>13</v>
      </c>
      <c r="G136" s="17">
        <v>211</v>
      </c>
      <c r="H136" s="23" t="s">
        <v>141</v>
      </c>
      <c r="I136" s="38" t="s">
        <v>93</v>
      </c>
      <c r="J136" s="24">
        <v>44533</v>
      </c>
      <c r="K136" s="20"/>
      <c r="L136" s="39">
        <v>2014.58</v>
      </c>
      <c r="M136" s="23" t="s">
        <v>224</v>
      </c>
      <c r="N136" s="40">
        <v>414.76</v>
      </c>
      <c r="O136" s="41">
        <f t="shared" si="6"/>
        <v>0.13946552758757402</v>
      </c>
      <c r="P136" s="23">
        <v>36</v>
      </c>
      <c r="Q136" s="23" t="s">
        <v>145</v>
      </c>
      <c r="R136" s="38" t="s">
        <v>159</v>
      </c>
      <c r="S136" s="42">
        <v>11055417000191</v>
      </c>
      <c r="T136" s="17">
        <v>2022</v>
      </c>
      <c r="U136" s="43" t="s">
        <v>228</v>
      </c>
      <c r="V136" s="43">
        <v>6</v>
      </c>
      <c r="W136" s="40">
        <v>12848.95</v>
      </c>
      <c r="X136" s="44" t="s">
        <v>211</v>
      </c>
      <c r="Y136" s="45"/>
      <c r="Z136" s="45"/>
      <c r="AA136" s="45"/>
      <c r="AB136" s="45" t="s">
        <v>174</v>
      </c>
      <c r="AC136" s="51">
        <v>9</v>
      </c>
      <c r="AD136" s="45"/>
      <c r="AE136" s="45" t="str">
        <f t="shared" si="5"/>
        <v>Promotor</v>
      </c>
    </row>
    <row r="137" spans="1:31" x14ac:dyDescent="0.25">
      <c r="A137" s="16" t="s">
        <v>267</v>
      </c>
      <c r="B137" s="17">
        <v>10110</v>
      </c>
      <c r="C137" s="17">
        <v>2</v>
      </c>
      <c r="D137" s="17" t="s">
        <v>4</v>
      </c>
      <c r="E137" s="17">
        <v>21</v>
      </c>
      <c r="F137" s="17" t="s">
        <v>13</v>
      </c>
      <c r="G137" s="17">
        <v>211</v>
      </c>
      <c r="H137" s="23" t="s">
        <v>141</v>
      </c>
      <c r="I137" s="38" t="s">
        <v>91</v>
      </c>
      <c r="J137" s="24">
        <v>39265</v>
      </c>
      <c r="K137" s="24"/>
      <c r="L137" s="39">
        <v>1802.01</v>
      </c>
      <c r="M137" s="23" t="s">
        <v>225</v>
      </c>
      <c r="N137" s="40">
        <v>924.58</v>
      </c>
      <c r="O137" s="41">
        <f t="shared" si="6"/>
        <v>0.12413394698769431</v>
      </c>
      <c r="P137" s="23">
        <v>17</v>
      </c>
      <c r="Q137" s="23"/>
      <c r="R137" s="38" t="s">
        <v>160</v>
      </c>
      <c r="S137" s="42">
        <v>11055417000178</v>
      </c>
      <c r="T137" s="17">
        <v>2022</v>
      </c>
      <c r="U137" s="43" t="s">
        <v>229</v>
      </c>
      <c r="V137" s="43">
        <v>7</v>
      </c>
      <c r="W137" s="40">
        <v>13766.74</v>
      </c>
      <c r="X137" s="44" t="s">
        <v>211</v>
      </c>
      <c r="Y137" s="45"/>
      <c r="Z137" s="45"/>
      <c r="AA137" s="45"/>
      <c r="AB137" s="45" t="s">
        <v>174</v>
      </c>
      <c r="AC137" s="51">
        <v>9</v>
      </c>
      <c r="AD137" s="45"/>
      <c r="AE137" s="45" t="str">
        <f t="shared" si="5"/>
        <v>Promotor</v>
      </c>
    </row>
    <row r="138" spans="1:31" x14ac:dyDescent="0.25">
      <c r="A138" s="5" t="s">
        <v>267</v>
      </c>
      <c r="B138" s="6">
        <v>10110</v>
      </c>
      <c r="C138" s="6">
        <v>2</v>
      </c>
      <c r="D138" s="6" t="s">
        <v>4</v>
      </c>
      <c r="E138" s="6">
        <v>21</v>
      </c>
      <c r="F138" s="6" t="s">
        <v>13</v>
      </c>
      <c r="G138" s="6">
        <v>211</v>
      </c>
      <c r="H138" s="12" t="s">
        <v>141</v>
      </c>
      <c r="I138" s="14" t="s">
        <v>91</v>
      </c>
      <c r="J138" s="13">
        <v>39265</v>
      </c>
      <c r="K138" s="27"/>
      <c r="L138" s="28">
        <v>1802.01</v>
      </c>
      <c r="M138" s="12" t="s">
        <v>225</v>
      </c>
      <c r="N138" s="29">
        <v>924.58</v>
      </c>
      <c r="O138" s="3">
        <f t="shared" si="6"/>
        <v>0</v>
      </c>
      <c r="P138" s="12" t="s">
        <v>2</v>
      </c>
      <c r="Q138" s="12" t="s">
        <v>145</v>
      </c>
      <c r="R138" s="14" t="s">
        <v>161</v>
      </c>
      <c r="S138" s="30">
        <v>11055417000197</v>
      </c>
      <c r="T138" s="6">
        <v>2022</v>
      </c>
      <c r="U138" s="26" t="s">
        <v>229</v>
      </c>
      <c r="V138" s="26">
        <v>7</v>
      </c>
      <c r="W138" s="29" t="s">
        <v>2</v>
      </c>
      <c r="X138" s="4"/>
      <c r="Y138" s="31" t="s">
        <v>174</v>
      </c>
      <c r="Z138" s="31" t="s">
        <v>216</v>
      </c>
      <c r="AA138" s="31" t="s">
        <v>174</v>
      </c>
      <c r="AB138" s="31" t="s">
        <v>175</v>
      </c>
      <c r="AC138" s="52">
        <v>4</v>
      </c>
      <c r="AD138" s="31"/>
      <c r="AE138" s="31" t="str">
        <f t="shared" si="5"/>
        <v>Detrator</v>
      </c>
    </row>
    <row r="139" spans="1:31" x14ac:dyDescent="0.25">
      <c r="A139" s="16" t="s">
        <v>267</v>
      </c>
      <c r="B139" s="17">
        <v>10110</v>
      </c>
      <c r="C139" s="17">
        <v>2</v>
      </c>
      <c r="D139" s="17" t="s">
        <v>4</v>
      </c>
      <c r="E139" s="17">
        <v>21</v>
      </c>
      <c r="F139" s="17" t="s">
        <v>13</v>
      </c>
      <c r="G139" s="17">
        <v>211</v>
      </c>
      <c r="H139" s="23" t="s">
        <v>141</v>
      </c>
      <c r="I139" s="38" t="s">
        <v>92</v>
      </c>
      <c r="J139" s="24">
        <v>42554</v>
      </c>
      <c r="K139" s="24"/>
      <c r="L139" s="39">
        <v>1466.73</v>
      </c>
      <c r="M139" s="23" t="s">
        <v>224</v>
      </c>
      <c r="N139" s="40">
        <v>414.76</v>
      </c>
      <c r="O139" s="41">
        <f t="shared" si="6"/>
        <v>0.13412051809951897</v>
      </c>
      <c r="P139" s="23">
        <v>46</v>
      </c>
      <c r="Q139" s="23"/>
      <c r="R139" s="38" t="s">
        <v>154</v>
      </c>
      <c r="S139" s="42">
        <v>11055417000177</v>
      </c>
      <c r="T139" s="17">
        <v>2022</v>
      </c>
      <c r="U139" s="43" t="s">
        <v>229</v>
      </c>
      <c r="V139" s="43">
        <v>7</v>
      </c>
      <c r="W139" s="40">
        <v>16520.080000000002</v>
      </c>
      <c r="X139" s="44" t="s">
        <v>211</v>
      </c>
      <c r="Y139" s="45"/>
      <c r="Z139" s="45"/>
      <c r="AA139" s="45"/>
      <c r="AB139" s="45" t="s">
        <v>174</v>
      </c>
      <c r="AC139" s="51">
        <v>7</v>
      </c>
      <c r="AD139" s="45"/>
      <c r="AE139" s="45" t="str">
        <f t="shared" si="5"/>
        <v>Neutro</v>
      </c>
    </row>
    <row r="140" spans="1:31" x14ac:dyDescent="0.25">
      <c r="A140" s="5" t="s">
        <v>267</v>
      </c>
      <c r="B140" s="6">
        <v>10110</v>
      </c>
      <c r="C140" s="6">
        <v>2</v>
      </c>
      <c r="D140" s="6" t="s">
        <v>4</v>
      </c>
      <c r="E140" s="6">
        <v>21</v>
      </c>
      <c r="F140" s="6" t="s">
        <v>13</v>
      </c>
      <c r="G140" s="6">
        <v>211</v>
      </c>
      <c r="H140" s="12" t="s">
        <v>141</v>
      </c>
      <c r="I140" s="14" t="s">
        <v>93</v>
      </c>
      <c r="J140" s="13">
        <v>44533</v>
      </c>
      <c r="K140" s="27"/>
      <c r="L140" s="28">
        <v>2014.58</v>
      </c>
      <c r="M140" s="12" t="s">
        <v>224</v>
      </c>
      <c r="N140" s="29">
        <v>414.76</v>
      </c>
      <c r="O140" s="3">
        <f t="shared" si="6"/>
        <v>0.12190297085176061</v>
      </c>
      <c r="P140" s="12">
        <v>63</v>
      </c>
      <c r="Q140" s="12"/>
      <c r="R140" s="14" t="s">
        <v>155</v>
      </c>
      <c r="S140" s="30">
        <v>11055417000186</v>
      </c>
      <c r="T140" s="6">
        <v>2022</v>
      </c>
      <c r="U140" s="26" t="s">
        <v>229</v>
      </c>
      <c r="V140" s="26">
        <v>7</v>
      </c>
      <c r="W140" s="29">
        <v>22944.57</v>
      </c>
      <c r="X140" s="4" t="s">
        <v>211</v>
      </c>
      <c r="Y140" s="31"/>
      <c r="Z140" s="31"/>
      <c r="AA140" s="31"/>
      <c r="AB140" s="31" t="s">
        <v>174</v>
      </c>
      <c r="AC140" s="52">
        <v>6</v>
      </c>
      <c r="AD140" s="31"/>
      <c r="AE140" s="31" t="str">
        <f t="shared" si="5"/>
        <v>Detrator</v>
      </c>
    </row>
    <row r="141" spans="1:31" x14ac:dyDescent="0.25">
      <c r="A141" s="16" t="s">
        <v>267</v>
      </c>
      <c r="B141" s="17">
        <v>10110</v>
      </c>
      <c r="C141" s="17">
        <v>2</v>
      </c>
      <c r="D141" s="17" t="s">
        <v>4</v>
      </c>
      <c r="E141" s="17">
        <v>21</v>
      </c>
      <c r="F141" s="17" t="s">
        <v>13</v>
      </c>
      <c r="G141" s="17">
        <v>211</v>
      </c>
      <c r="H141" s="23" t="s">
        <v>141</v>
      </c>
      <c r="I141" s="38" t="s">
        <v>92</v>
      </c>
      <c r="J141" s="24">
        <v>42554</v>
      </c>
      <c r="K141" s="24"/>
      <c r="L141" s="39">
        <v>1466.73</v>
      </c>
      <c r="M141" s="23" t="s">
        <v>224</v>
      </c>
      <c r="N141" s="40">
        <v>414.76</v>
      </c>
      <c r="O141" s="41">
        <f t="shared" si="6"/>
        <v>0</v>
      </c>
      <c r="P141" s="23" t="s">
        <v>2</v>
      </c>
      <c r="Q141" s="23" t="s">
        <v>145</v>
      </c>
      <c r="R141" s="38" t="s">
        <v>158</v>
      </c>
      <c r="S141" s="42">
        <v>11055417000203</v>
      </c>
      <c r="T141" s="17">
        <v>2022</v>
      </c>
      <c r="U141" s="43" t="s">
        <v>229</v>
      </c>
      <c r="V141" s="43">
        <v>7</v>
      </c>
      <c r="W141" s="40" t="s">
        <v>2</v>
      </c>
      <c r="X141" s="44"/>
      <c r="Y141" s="45"/>
      <c r="Z141" s="45"/>
      <c r="AA141" s="45"/>
      <c r="AB141" s="45" t="s">
        <v>174</v>
      </c>
      <c r="AC141" s="51">
        <v>6</v>
      </c>
      <c r="AD141" s="45"/>
      <c r="AE141" s="45" t="str">
        <f t="shared" si="5"/>
        <v>Detrator</v>
      </c>
    </row>
    <row r="142" spans="1:31" x14ac:dyDescent="0.25">
      <c r="A142" s="5" t="s">
        <v>267</v>
      </c>
      <c r="B142" s="6">
        <v>10110</v>
      </c>
      <c r="C142" s="6">
        <v>2</v>
      </c>
      <c r="D142" s="6" t="s">
        <v>4</v>
      </c>
      <c r="E142" s="6">
        <v>21</v>
      </c>
      <c r="F142" s="6" t="s">
        <v>13</v>
      </c>
      <c r="G142" s="6">
        <v>211</v>
      </c>
      <c r="H142" s="12" t="s">
        <v>153</v>
      </c>
      <c r="I142" s="14" t="s">
        <v>93</v>
      </c>
      <c r="J142" s="13">
        <v>44533</v>
      </c>
      <c r="K142" s="27"/>
      <c r="L142" s="28">
        <v>2014.58</v>
      </c>
      <c r="M142" s="12" t="s">
        <v>224</v>
      </c>
      <c r="N142" s="29">
        <v>414.76</v>
      </c>
      <c r="O142" s="3">
        <f t="shared" si="6"/>
        <v>0.13946508110000244</v>
      </c>
      <c r="P142" s="12">
        <v>108</v>
      </c>
      <c r="Q142" s="12"/>
      <c r="R142" s="14" t="s">
        <v>159</v>
      </c>
      <c r="S142" s="30">
        <v>11055417000191</v>
      </c>
      <c r="T142" s="6">
        <v>2022</v>
      </c>
      <c r="U142" s="26" t="s">
        <v>229</v>
      </c>
      <c r="V142" s="26">
        <v>7</v>
      </c>
      <c r="W142" s="29">
        <v>38546.870000000003</v>
      </c>
      <c r="X142" s="4" t="s">
        <v>211</v>
      </c>
      <c r="Y142" s="31" t="s">
        <v>174</v>
      </c>
      <c r="Z142" s="31" t="s">
        <v>216</v>
      </c>
      <c r="AA142" s="31" t="s">
        <v>175</v>
      </c>
      <c r="AB142" s="31" t="s">
        <v>175</v>
      </c>
      <c r="AC142" s="52">
        <v>3</v>
      </c>
      <c r="AD142" s="31"/>
      <c r="AE142" s="31" t="str">
        <f t="shared" si="5"/>
        <v>Detrator</v>
      </c>
    </row>
    <row r="143" spans="1:31" x14ac:dyDescent="0.25">
      <c r="A143" s="16" t="s">
        <v>267</v>
      </c>
      <c r="B143" s="17">
        <v>10110</v>
      </c>
      <c r="C143" s="17">
        <v>2</v>
      </c>
      <c r="D143" s="17" t="s">
        <v>4</v>
      </c>
      <c r="E143" s="17">
        <v>21</v>
      </c>
      <c r="F143" s="17" t="s">
        <v>13</v>
      </c>
      <c r="G143" s="17">
        <v>211</v>
      </c>
      <c r="H143" s="23" t="s">
        <v>141</v>
      </c>
      <c r="I143" s="38" t="s">
        <v>92</v>
      </c>
      <c r="J143" s="24">
        <v>42554</v>
      </c>
      <c r="K143" s="24"/>
      <c r="L143" s="39">
        <v>1466.73</v>
      </c>
      <c r="M143" s="23" t="s">
        <v>224</v>
      </c>
      <c r="N143" s="40">
        <v>414.76</v>
      </c>
      <c r="O143" s="41">
        <f t="shared" si="6"/>
        <v>0.14343079091211708</v>
      </c>
      <c r="P143" s="23">
        <v>31</v>
      </c>
      <c r="Q143" s="23"/>
      <c r="R143" s="38" t="s">
        <v>160</v>
      </c>
      <c r="S143" s="42">
        <v>11055417000178</v>
      </c>
      <c r="T143" s="17">
        <v>2022</v>
      </c>
      <c r="U143" s="43" t="s">
        <v>230</v>
      </c>
      <c r="V143" s="43">
        <v>8</v>
      </c>
      <c r="W143" s="40">
        <v>11013.39</v>
      </c>
      <c r="X143" s="44" t="s">
        <v>211</v>
      </c>
      <c r="Y143" s="45"/>
      <c r="Z143" s="45"/>
      <c r="AA143" s="45"/>
      <c r="AB143" s="45" t="s">
        <v>174</v>
      </c>
      <c r="AC143" s="51">
        <v>8</v>
      </c>
      <c r="AD143" s="45"/>
      <c r="AE143" s="45" t="str">
        <f t="shared" si="5"/>
        <v>Neutro</v>
      </c>
    </row>
    <row r="144" spans="1:31" x14ac:dyDescent="0.25">
      <c r="A144" s="5" t="s">
        <v>267</v>
      </c>
      <c r="B144" s="6">
        <v>10110</v>
      </c>
      <c r="C144" s="6">
        <v>2</v>
      </c>
      <c r="D144" s="6" t="s">
        <v>4</v>
      </c>
      <c r="E144" s="6">
        <v>21</v>
      </c>
      <c r="F144" s="6" t="s">
        <v>13</v>
      </c>
      <c r="G144" s="6">
        <v>211</v>
      </c>
      <c r="H144" s="12" t="s">
        <v>153</v>
      </c>
      <c r="I144" s="14" t="s">
        <v>93</v>
      </c>
      <c r="J144" s="13">
        <v>44533</v>
      </c>
      <c r="K144" s="27"/>
      <c r="L144" s="28">
        <v>2014.58</v>
      </c>
      <c r="M144" s="12" t="s">
        <v>224</v>
      </c>
      <c r="N144" s="29">
        <v>414.76</v>
      </c>
      <c r="O144" s="3">
        <f t="shared" si="6"/>
        <v>0.14892208283567143</v>
      </c>
      <c r="P144" s="12">
        <v>13</v>
      </c>
      <c r="Q144" s="12"/>
      <c r="R144" s="14" t="s">
        <v>161</v>
      </c>
      <c r="S144" s="30">
        <v>11055417000197</v>
      </c>
      <c r="T144" s="6">
        <v>2022</v>
      </c>
      <c r="U144" s="26" t="s">
        <v>230</v>
      </c>
      <c r="V144" s="26">
        <v>8</v>
      </c>
      <c r="W144" s="29">
        <v>4588.91</v>
      </c>
      <c r="X144" s="31" t="s">
        <v>222</v>
      </c>
      <c r="Y144" s="31"/>
      <c r="Z144" s="31"/>
      <c r="AA144" s="31"/>
      <c r="AB144" s="31" t="s">
        <v>174</v>
      </c>
      <c r="AC144" s="52">
        <v>9</v>
      </c>
      <c r="AD144" s="31"/>
      <c r="AE144" s="31" t="str">
        <f t="shared" si="5"/>
        <v>Promotor</v>
      </c>
    </row>
    <row r="145" spans="1:31" x14ac:dyDescent="0.25">
      <c r="A145" s="16" t="s">
        <v>267</v>
      </c>
      <c r="B145" s="17">
        <v>10110</v>
      </c>
      <c r="C145" s="17">
        <v>2</v>
      </c>
      <c r="D145" s="17" t="s">
        <v>4</v>
      </c>
      <c r="E145" s="17">
        <v>21</v>
      </c>
      <c r="F145" s="17" t="s">
        <v>13</v>
      </c>
      <c r="G145" s="17">
        <v>211</v>
      </c>
      <c r="H145" s="23" t="s">
        <v>141</v>
      </c>
      <c r="I145" s="38" t="s">
        <v>92</v>
      </c>
      <c r="J145" s="24">
        <v>42554</v>
      </c>
      <c r="K145" s="24"/>
      <c r="L145" s="39">
        <v>1466.73</v>
      </c>
      <c r="M145" s="23" t="s">
        <v>224</v>
      </c>
      <c r="N145" s="40">
        <v>414.76</v>
      </c>
      <c r="O145" s="41">
        <f t="shared" si="6"/>
        <v>0</v>
      </c>
      <c r="P145" s="23" t="s">
        <v>2</v>
      </c>
      <c r="Q145" s="23" t="s">
        <v>145</v>
      </c>
      <c r="R145" s="38" t="s">
        <v>158</v>
      </c>
      <c r="S145" s="42">
        <v>11055417000203</v>
      </c>
      <c r="T145" s="17">
        <v>2022</v>
      </c>
      <c r="U145" s="43" t="s">
        <v>230</v>
      </c>
      <c r="V145" s="43">
        <v>8</v>
      </c>
      <c r="W145" s="40" t="s">
        <v>2</v>
      </c>
      <c r="X145" s="44"/>
      <c r="Y145" s="45" t="s">
        <v>174</v>
      </c>
      <c r="Z145" s="45" t="s">
        <v>216</v>
      </c>
      <c r="AA145" s="45" t="s">
        <v>174</v>
      </c>
      <c r="AB145" s="45" t="s">
        <v>175</v>
      </c>
      <c r="AC145" s="51">
        <v>0</v>
      </c>
      <c r="AD145" s="45"/>
      <c r="AE145" s="45" t="str">
        <f t="shared" si="5"/>
        <v>Detrator</v>
      </c>
    </row>
    <row r="146" spans="1:31" x14ac:dyDescent="0.25">
      <c r="A146" s="5" t="s">
        <v>267</v>
      </c>
      <c r="B146" s="6">
        <v>10110</v>
      </c>
      <c r="C146" s="6">
        <v>2</v>
      </c>
      <c r="D146" s="6" t="s">
        <v>4</v>
      </c>
      <c r="E146" s="6">
        <v>21</v>
      </c>
      <c r="F146" s="6" t="s">
        <v>13</v>
      </c>
      <c r="G146" s="6">
        <v>211</v>
      </c>
      <c r="H146" s="12" t="s">
        <v>141</v>
      </c>
      <c r="I146" s="14" t="s">
        <v>93</v>
      </c>
      <c r="J146" s="13">
        <v>44533</v>
      </c>
      <c r="K146" s="27"/>
      <c r="L146" s="28">
        <v>2014.58</v>
      </c>
      <c r="M146" s="12" t="s">
        <v>225</v>
      </c>
      <c r="N146" s="29">
        <v>924.58</v>
      </c>
      <c r="O146" s="3">
        <f t="shared" si="6"/>
        <v>0.12188777607129742</v>
      </c>
      <c r="P146" s="12">
        <v>26</v>
      </c>
      <c r="Q146" s="12"/>
      <c r="R146" s="14" t="s">
        <v>159</v>
      </c>
      <c r="S146" s="30">
        <v>11055417000191</v>
      </c>
      <c r="T146" s="6">
        <v>2022</v>
      </c>
      <c r="U146" s="26" t="s">
        <v>230</v>
      </c>
      <c r="V146" s="26">
        <v>8</v>
      </c>
      <c r="W146" s="29">
        <v>21109.01</v>
      </c>
      <c r="X146" s="4" t="s">
        <v>211</v>
      </c>
      <c r="Y146" s="31"/>
      <c r="Z146" s="31"/>
      <c r="AA146" s="31"/>
      <c r="AB146" s="31" t="s">
        <v>174</v>
      </c>
      <c r="AC146" s="52">
        <v>6</v>
      </c>
      <c r="AD146" s="31"/>
      <c r="AE146" s="31" t="str">
        <f t="shared" si="5"/>
        <v>Detrator</v>
      </c>
    </row>
    <row r="147" spans="1:31" x14ac:dyDescent="0.25">
      <c r="A147" s="16" t="s">
        <v>267</v>
      </c>
      <c r="B147" s="17">
        <v>10110</v>
      </c>
      <c r="C147" s="17">
        <v>2</v>
      </c>
      <c r="D147" s="17" t="s">
        <v>4</v>
      </c>
      <c r="E147" s="17">
        <v>21</v>
      </c>
      <c r="F147" s="17" t="s">
        <v>13</v>
      </c>
      <c r="G147" s="17">
        <v>211</v>
      </c>
      <c r="H147" s="23" t="s">
        <v>141</v>
      </c>
      <c r="I147" s="38" t="s">
        <v>88</v>
      </c>
      <c r="J147" s="24">
        <v>42981</v>
      </c>
      <c r="K147" s="24"/>
      <c r="L147" s="39">
        <v>1243.3399999999999</v>
      </c>
      <c r="M147" s="23" t="s">
        <v>225</v>
      </c>
      <c r="N147" s="40">
        <v>924.58</v>
      </c>
      <c r="O147" s="41">
        <f t="shared" si="6"/>
        <v>0</v>
      </c>
      <c r="P147" s="23" t="s">
        <v>2</v>
      </c>
      <c r="Q147" s="23" t="s">
        <v>145</v>
      </c>
      <c r="R147" s="38" t="s">
        <v>238</v>
      </c>
      <c r="S147" s="42">
        <v>11055417000166</v>
      </c>
      <c r="T147" s="17">
        <v>2022</v>
      </c>
      <c r="U147" s="43" t="s">
        <v>230</v>
      </c>
      <c r="V147" s="43">
        <v>8</v>
      </c>
      <c r="W147" s="40" t="s">
        <v>2</v>
      </c>
      <c r="X147" s="44"/>
      <c r="Y147" s="45"/>
      <c r="Z147" s="45"/>
      <c r="AA147" s="45"/>
      <c r="AB147" s="45" t="s">
        <v>174</v>
      </c>
      <c r="AC147" s="51">
        <v>8</v>
      </c>
      <c r="AD147" s="45" t="s">
        <v>177</v>
      </c>
      <c r="AE147" s="45" t="str">
        <f t="shared" si="5"/>
        <v>Neutro</v>
      </c>
    </row>
    <row r="148" spans="1:31" x14ac:dyDescent="0.25">
      <c r="A148" s="5" t="s">
        <v>267</v>
      </c>
      <c r="B148" s="6">
        <v>10110</v>
      </c>
      <c r="C148" s="6">
        <v>2</v>
      </c>
      <c r="D148" s="6" t="s">
        <v>4</v>
      </c>
      <c r="E148" s="6">
        <v>21</v>
      </c>
      <c r="F148" s="6" t="s">
        <v>13</v>
      </c>
      <c r="G148" s="6">
        <v>211</v>
      </c>
      <c r="H148" s="12" t="s">
        <v>141</v>
      </c>
      <c r="I148" s="14" t="s">
        <v>89</v>
      </c>
      <c r="J148" s="13">
        <v>44533</v>
      </c>
      <c r="K148" s="27"/>
      <c r="L148" s="28">
        <v>1243.56</v>
      </c>
      <c r="M148" s="12" t="s">
        <v>224</v>
      </c>
      <c r="N148" s="29">
        <v>414.76</v>
      </c>
      <c r="O148" s="3">
        <f t="shared" si="6"/>
        <v>0.13786834006961313</v>
      </c>
      <c r="P148" s="12">
        <v>154</v>
      </c>
      <c r="Q148" s="12" t="s">
        <v>145</v>
      </c>
      <c r="R148" s="14" t="s">
        <v>238</v>
      </c>
      <c r="S148" s="30">
        <v>11055417001197</v>
      </c>
      <c r="T148" s="6">
        <v>2022</v>
      </c>
      <c r="U148" s="26" t="s">
        <v>230</v>
      </c>
      <c r="V148" s="26">
        <v>8</v>
      </c>
      <c r="W148" s="29">
        <v>55066.97</v>
      </c>
      <c r="X148" s="4" t="s">
        <v>211</v>
      </c>
      <c r="Y148" s="31" t="s">
        <v>174</v>
      </c>
      <c r="Z148" s="31" t="s">
        <v>216</v>
      </c>
      <c r="AA148" s="31" t="s">
        <v>175</v>
      </c>
      <c r="AB148" s="31" t="s">
        <v>175</v>
      </c>
      <c r="AC148" s="52">
        <v>3</v>
      </c>
      <c r="AD148" s="31" t="s">
        <v>177</v>
      </c>
      <c r="AE148" s="31" t="str">
        <f t="shared" si="5"/>
        <v>Detrator</v>
      </c>
    </row>
    <row r="149" spans="1:31" x14ac:dyDescent="0.25">
      <c r="A149" s="16" t="s">
        <v>267</v>
      </c>
      <c r="B149" s="17">
        <v>10110</v>
      </c>
      <c r="C149" s="17">
        <v>2</v>
      </c>
      <c r="D149" s="17" t="s">
        <v>4</v>
      </c>
      <c r="E149" s="17">
        <v>21</v>
      </c>
      <c r="F149" s="17" t="s">
        <v>13</v>
      </c>
      <c r="G149" s="17">
        <v>211</v>
      </c>
      <c r="H149" s="23" t="s">
        <v>141</v>
      </c>
      <c r="I149" s="38" t="s">
        <v>88</v>
      </c>
      <c r="J149" s="24">
        <v>42981</v>
      </c>
      <c r="K149" s="24"/>
      <c r="L149" s="39">
        <v>1243.3399999999999</v>
      </c>
      <c r="M149" s="23" t="s">
        <v>224</v>
      </c>
      <c r="N149" s="40">
        <v>414.76</v>
      </c>
      <c r="O149" s="41">
        <f t="shared" si="6"/>
        <v>0</v>
      </c>
      <c r="P149" s="23" t="s">
        <v>2</v>
      </c>
      <c r="Q149" s="23" t="s">
        <v>145</v>
      </c>
      <c r="R149" s="38" t="s">
        <v>239</v>
      </c>
      <c r="S149" s="42">
        <v>11055417002197</v>
      </c>
      <c r="T149" s="17">
        <v>2022</v>
      </c>
      <c r="U149" s="43" t="s">
        <v>230</v>
      </c>
      <c r="V149" s="43">
        <v>8</v>
      </c>
      <c r="W149" s="40" t="s">
        <v>2</v>
      </c>
      <c r="X149" s="44"/>
      <c r="Y149" s="45"/>
      <c r="Z149" s="45"/>
      <c r="AA149" s="45"/>
      <c r="AB149" s="45" t="s">
        <v>174</v>
      </c>
      <c r="AC149" s="51">
        <v>6</v>
      </c>
      <c r="AD149" s="45" t="s">
        <v>177</v>
      </c>
      <c r="AE149" s="45" t="str">
        <f t="shared" si="5"/>
        <v>Detrator</v>
      </c>
    </row>
    <row r="150" spans="1:31" x14ac:dyDescent="0.25">
      <c r="A150" s="14" t="s">
        <v>267</v>
      </c>
      <c r="B150" s="12">
        <v>10110</v>
      </c>
      <c r="C150" s="12">
        <v>2</v>
      </c>
      <c r="D150" s="12" t="s">
        <v>4</v>
      </c>
      <c r="E150" s="12">
        <v>21</v>
      </c>
      <c r="F150" s="12" t="s">
        <v>13</v>
      </c>
      <c r="G150" s="12">
        <v>211</v>
      </c>
      <c r="H150" s="12" t="s">
        <v>141</v>
      </c>
      <c r="I150" s="7" t="s">
        <v>92</v>
      </c>
      <c r="J150" s="15">
        <v>42554</v>
      </c>
      <c r="K150" s="32"/>
      <c r="L150" s="28">
        <v>1466.73</v>
      </c>
      <c r="M150" s="12" t="s">
        <v>224</v>
      </c>
      <c r="N150" s="29">
        <v>414.76</v>
      </c>
      <c r="O150" s="3">
        <v>6.4924292297564579E-3</v>
      </c>
      <c r="P150" s="12" t="s">
        <v>2</v>
      </c>
      <c r="Q150" s="12"/>
      <c r="R150" s="14" t="s">
        <v>244</v>
      </c>
      <c r="S150" s="30">
        <v>11055417006178</v>
      </c>
      <c r="T150" s="12">
        <v>2022</v>
      </c>
      <c r="U150" s="26" t="s">
        <v>231</v>
      </c>
      <c r="V150" s="26">
        <v>9</v>
      </c>
      <c r="W150" s="29" t="s">
        <v>2</v>
      </c>
      <c r="X150" s="4"/>
      <c r="Y150" s="12"/>
      <c r="Z150" s="12"/>
      <c r="AA150" s="12"/>
      <c r="AB150" s="31" t="s">
        <v>174</v>
      </c>
      <c r="AC150" s="52">
        <v>8</v>
      </c>
      <c r="AD150" s="31" t="s">
        <v>177</v>
      </c>
      <c r="AE150" s="31" t="str">
        <f t="shared" si="5"/>
        <v>Neutro</v>
      </c>
    </row>
    <row r="151" spans="1:31" x14ac:dyDescent="0.25">
      <c r="A151" s="16" t="s">
        <v>267</v>
      </c>
      <c r="B151" s="17">
        <v>10110</v>
      </c>
      <c r="C151" s="17">
        <v>2</v>
      </c>
      <c r="D151" s="17" t="s">
        <v>4</v>
      </c>
      <c r="E151" s="17">
        <v>21</v>
      </c>
      <c r="F151" s="17" t="s">
        <v>13</v>
      </c>
      <c r="G151" s="17">
        <v>211</v>
      </c>
      <c r="H151" s="23" t="s">
        <v>153</v>
      </c>
      <c r="I151" s="38" t="s">
        <v>93</v>
      </c>
      <c r="J151" s="24">
        <v>44533</v>
      </c>
      <c r="K151" s="24"/>
      <c r="L151" s="39">
        <v>2014.58</v>
      </c>
      <c r="M151" s="23" t="s">
        <v>224</v>
      </c>
      <c r="N151" s="40">
        <v>414.76</v>
      </c>
      <c r="O151" s="41">
        <v>3.408986175115214E-2</v>
      </c>
      <c r="P151" s="23">
        <v>104</v>
      </c>
      <c r="Q151" s="23"/>
      <c r="R151" s="38" t="s">
        <v>161</v>
      </c>
      <c r="S151" s="42">
        <v>11055417000197</v>
      </c>
      <c r="T151" s="17">
        <v>2022</v>
      </c>
      <c r="U151" s="43" t="s">
        <v>231</v>
      </c>
      <c r="V151" s="43">
        <v>9</v>
      </c>
      <c r="W151" s="40">
        <v>36819.25</v>
      </c>
      <c r="X151" s="44" t="s">
        <v>222</v>
      </c>
      <c r="Y151" s="45"/>
      <c r="Z151" s="45"/>
      <c r="AA151" s="45"/>
      <c r="AB151" s="45" t="s">
        <v>174</v>
      </c>
      <c r="AC151" s="51">
        <v>10</v>
      </c>
      <c r="AD151" s="45"/>
      <c r="AE151" s="45" t="str">
        <f t="shared" si="5"/>
        <v>Promotor</v>
      </c>
    </row>
    <row r="152" spans="1:31" x14ac:dyDescent="0.25">
      <c r="A152" s="14" t="s">
        <v>267</v>
      </c>
      <c r="B152" s="12">
        <v>10110</v>
      </c>
      <c r="C152" s="12">
        <v>2</v>
      </c>
      <c r="D152" s="12" t="s">
        <v>4</v>
      </c>
      <c r="E152" s="12">
        <v>21</v>
      </c>
      <c r="F152" s="12" t="s">
        <v>13</v>
      </c>
      <c r="G152" s="12">
        <v>211</v>
      </c>
      <c r="H152" s="12" t="s">
        <v>141</v>
      </c>
      <c r="I152" s="7" t="s">
        <v>92</v>
      </c>
      <c r="J152" s="15">
        <v>42554</v>
      </c>
      <c r="K152" s="32"/>
      <c r="L152" s="28">
        <v>1466.73</v>
      </c>
      <c r="M152" s="12" t="s">
        <v>224</v>
      </c>
      <c r="N152" s="29">
        <v>414.76</v>
      </c>
      <c r="O152" s="3">
        <v>0</v>
      </c>
      <c r="P152" s="12">
        <v>468</v>
      </c>
      <c r="Q152" s="12" t="s">
        <v>145</v>
      </c>
      <c r="R152" s="14" t="s">
        <v>245</v>
      </c>
      <c r="S152" s="30">
        <v>11055417001203</v>
      </c>
      <c r="T152" s="12">
        <v>2022</v>
      </c>
      <c r="U152" s="26" t="s">
        <v>231</v>
      </c>
      <c r="V152" s="26">
        <v>9</v>
      </c>
      <c r="W152" s="29">
        <v>167468.20000000001</v>
      </c>
      <c r="X152" s="4" t="s">
        <v>211</v>
      </c>
      <c r="Y152" s="12" t="s">
        <v>174</v>
      </c>
      <c r="Z152" s="12" t="s">
        <v>217</v>
      </c>
      <c r="AA152" s="31" t="s">
        <v>174</v>
      </c>
      <c r="AB152" s="12" t="s">
        <v>175</v>
      </c>
      <c r="AC152" s="52">
        <v>5</v>
      </c>
      <c r="AD152" s="31" t="s">
        <v>177</v>
      </c>
      <c r="AE152" s="31" t="str">
        <f t="shared" si="5"/>
        <v>Detrator</v>
      </c>
    </row>
    <row r="153" spans="1:31" x14ac:dyDescent="0.25">
      <c r="A153" s="16" t="s">
        <v>267</v>
      </c>
      <c r="B153" s="17">
        <v>10110</v>
      </c>
      <c r="C153" s="17">
        <v>2</v>
      </c>
      <c r="D153" s="17" t="s">
        <v>4</v>
      </c>
      <c r="E153" s="17">
        <v>21</v>
      </c>
      <c r="F153" s="17" t="s">
        <v>13</v>
      </c>
      <c r="G153" s="17">
        <v>211</v>
      </c>
      <c r="H153" s="23" t="s">
        <v>141</v>
      </c>
      <c r="I153" s="38" t="s">
        <v>93</v>
      </c>
      <c r="J153" s="24">
        <v>44533</v>
      </c>
      <c r="K153" s="24"/>
      <c r="L153" s="39">
        <v>2014.58</v>
      </c>
      <c r="M153" s="23" t="s">
        <v>225</v>
      </c>
      <c r="N153" s="40">
        <v>924.58</v>
      </c>
      <c r="O153" s="41">
        <v>3.4059743660419528E-3</v>
      </c>
      <c r="P153" s="23">
        <v>443</v>
      </c>
      <c r="Q153" s="23"/>
      <c r="R153" s="38" t="s">
        <v>246</v>
      </c>
      <c r="S153" s="42">
        <v>11055417003191</v>
      </c>
      <c r="T153" s="17">
        <v>2022</v>
      </c>
      <c r="U153" s="43" t="s">
        <v>231</v>
      </c>
      <c r="V153" s="43">
        <v>9</v>
      </c>
      <c r="W153" s="40">
        <v>353019.13</v>
      </c>
      <c r="X153" s="44" t="s">
        <v>211</v>
      </c>
      <c r="Y153" s="45"/>
      <c r="Z153" s="45"/>
      <c r="AA153" s="45"/>
      <c r="AB153" s="45" t="s">
        <v>174</v>
      </c>
      <c r="AC153" s="51">
        <v>8</v>
      </c>
      <c r="AD153" s="45" t="s">
        <v>177</v>
      </c>
      <c r="AE153" s="45" t="str">
        <f t="shared" si="5"/>
        <v>Neutro</v>
      </c>
    </row>
    <row r="154" spans="1:31" x14ac:dyDescent="0.25">
      <c r="A154" s="14" t="s">
        <v>267</v>
      </c>
      <c r="B154" s="12">
        <v>10110</v>
      </c>
      <c r="C154" s="12">
        <v>2</v>
      </c>
      <c r="D154" s="12" t="s">
        <v>4</v>
      </c>
      <c r="E154" s="12">
        <v>21</v>
      </c>
      <c r="F154" s="12" t="s">
        <v>13</v>
      </c>
      <c r="G154" s="12">
        <v>211</v>
      </c>
      <c r="H154" s="12" t="s">
        <v>141</v>
      </c>
      <c r="I154" s="7" t="s">
        <v>88</v>
      </c>
      <c r="J154" s="15">
        <v>42981</v>
      </c>
      <c r="K154" s="32"/>
      <c r="L154" s="28">
        <v>1243.3399999999999</v>
      </c>
      <c r="M154" s="12" t="s">
        <v>225</v>
      </c>
      <c r="N154" s="29">
        <v>924.58</v>
      </c>
      <c r="O154" s="3">
        <v>0</v>
      </c>
      <c r="P154" s="12">
        <v>416</v>
      </c>
      <c r="Q154" s="12" t="s">
        <v>145</v>
      </c>
      <c r="R154" s="14" t="s">
        <v>247</v>
      </c>
      <c r="S154" s="30">
        <v>11055417009178</v>
      </c>
      <c r="T154" s="12">
        <v>2022</v>
      </c>
      <c r="U154" s="26" t="s">
        <v>231</v>
      </c>
      <c r="V154" s="26">
        <v>9</v>
      </c>
      <c r="W154" s="29">
        <v>331837.99</v>
      </c>
      <c r="X154" s="4" t="s">
        <v>211</v>
      </c>
      <c r="Y154" s="12"/>
      <c r="Z154" s="12"/>
      <c r="AA154" s="12"/>
      <c r="AB154" s="31" t="s">
        <v>174</v>
      </c>
      <c r="AC154" s="52">
        <v>6</v>
      </c>
      <c r="AD154" s="31" t="s">
        <v>177</v>
      </c>
      <c r="AE154" s="31" t="str">
        <f t="shared" si="5"/>
        <v>Detrator</v>
      </c>
    </row>
    <row r="155" spans="1:31" x14ac:dyDescent="0.25">
      <c r="A155" s="16" t="s">
        <v>267</v>
      </c>
      <c r="B155" s="17">
        <v>10110</v>
      </c>
      <c r="C155" s="17">
        <v>2</v>
      </c>
      <c r="D155" s="17" t="s">
        <v>4</v>
      </c>
      <c r="E155" s="17">
        <v>21</v>
      </c>
      <c r="F155" s="17" t="s">
        <v>13</v>
      </c>
      <c r="G155" s="17">
        <v>211</v>
      </c>
      <c r="H155" s="23" t="s">
        <v>141</v>
      </c>
      <c r="I155" s="38" t="s">
        <v>89</v>
      </c>
      <c r="J155" s="24">
        <v>44533</v>
      </c>
      <c r="K155" s="24"/>
      <c r="L155" s="39">
        <v>1243.56</v>
      </c>
      <c r="M155" s="23" t="s">
        <v>224</v>
      </c>
      <c r="N155" s="40">
        <v>414.76</v>
      </c>
      <c r="O155" s="41">
        <v>0</v>
      </c>
      <c r="P155" s="23">
        <v>184</v>
      </c>
      <c r="Q155" s="23" t="s">
        <v>145</v>
      </c>
      <c r="R155" s="38" t="s">
        <v>248</v>
      </c>
      <c r="S155" s="42">
        <v>11055417000197</v>
      </c>
      <c r="T155" s="17">
        <v>2022</v>
      </c>
      <c r="U155" s="43" t="s">
        <v>231</v>
      </c>
      <c r="V155" s="43">
        <v>9</v>
      </c>
      <c r="W155" s="40">
        <v>65747.509999999995</v>
      </c>
      <c r="X155" s="44" t="s">
        <v>211</v>
      </c>
      <c r="Y155" s="45" t="s">
        <v>174</v>
      </c>
      <c r="Z155" s="45" t="s">
        <v>217</v>
      </c>
      <c r="AA155" s="45" t="s">
        <v>175</v>
      </c>
      <c r="AB155" s="45" t="s">
        <v>175</v>
      </c>
      <c r="AC155" s="51">
        <v>4</v>
      </c>
      <c r="AD155" s="45"/>
      <c r="AE155" s="45" t="str">
        <f t="shared" si="5"/>
        <v>Detrator</v>
      </c>
    </row>
    <row r="156" spans="1:31" x14ac:dyDescent="0.25">
      <c r="A156" s="14" t="s">
        <v>267</v>
      </c>
      <c r="B156" s="12">
        <v>10110</v>
      </c>
      <c r="C156" s="12">
        <v>2</v>
      </c>
      <c r="D156" s="12" t="s">
        <v>4</v>
      </c>
      <c r="E156" s="12">
        <v>21</v>
      </c>
      <c r="F156" s="12" t="s">
        <v>13</v>
      </c>
      <c r="G156" s="12">
        <v>211</v>
      </c>
      <c r="H156" s="12" t="s">
        <v>141</v>
      </c>
      <c r="I156" s="7" t="s">
        <v>88</v>
      </c>
      <c r="J156" s="15">
        <v>42981</v>
      </c>
      <c r="K156" s="32"/>
      <c r="L156" s="28">
        <v>1243.3399999999999</v>
      </c>
      <c r="M156" s="12" t="s">
        <v>224</v>
      </c>
      <c r="N156" s="29">
        <v>414.76</v>
      </c>
      <c r="O156" s="3">
        <v>0</v>
      </c>
      <c r="P156" s="12" t="s">
        <v>2</v>
      </c>
      <c r="Q156" s="12" t="s">
        <v>145</v>
      </c>
      <c r="R156" s="14" t="s">
        <v>248</v>
      </c>
      <c r="S156" s="30">
        <v>11055417000197</v>
      </c>
      <c r="T156" s="12">
        <v>2022</v>
      </c>
      <c r="U156" s="26" t="s">
        <v>231</v>
      </c>
      <c r="V156" s="26">
        <v>9</v>
      </c>
      <c r="W156" s="29" t="s">
        <v>2</v>
      </c>
      <c r="X156" s="4"/>
      <c r="Y156" s="12"/>
      <c r="Z156" s="12"/>
      <c r="AA156" s="12"/>
      <c r="AB156" s="31" t="s">
        <v>174</v>
      </c>
      <c r="AC156" s="52">
        <v>10</v>
      </c>
      <c r="AD156" s="31"/>
      <c r="AE156" s="31" t="str">
        <f t="shared" si="5"/>
        <v>Promotor</v>
      </c>
    </row>
    <row r="157" spans="1:31" x14ac:dyDescent="0.25">
      <c r="A157" s="16" t="s">
        <v>267</v>
      </c>
      <c r="B157" s="17">
        <v>10110</v>
      </c>
      <c r="C157" s="17">
        <v>2</v>
      </c>
      <c r="D157" s="17" t="s">
        <v>4</v>
      </c>
      <c r="E157" s="17">
        <v>21</v>
      </c>
      <c r="F157" s="17" t="s">
        <v>13</v>
      </c>
      <c r="G157" s="17">
        <v>211</v>
      </c>
      <c r="H157" s="23" t="s">
        <v>141</v>
      </c>
      <c r="I157" s="38" t="s">
        <v>92</v>
      </c>
      <c r="J157" s="24">
        <v>42554</v>
      </c>
      <c r="K157" s="24"/>
      <c r="L157" s="39">
        <v>1466.73</v>
      </c>
      <c r="M157" s="23" t="s">
        <v>224</v>
      </c>
      <c r="N157" s="40">
        <v>414.76</v>
      </c>
      <c r="O157" s="41">
        <v>6.4924292297564579E-3</v>
      </c>
      <c r="P157" s="23" t="s">
        <v>2</v>
      </c>
      <c r="Q157" s="23"/>
      <c r="R157" s="38" t="s">
        <v>160</v>
      </c>
      <c r="S157" s="42">
        <v>11055417000178</v>
      </c>
      <c r="T157" s="17">
        <v>2022</v>
      </c>
      <c r="U157" s="43" t="s">
        <v>236</v>
      </c>
      <c r="V157" s="43">
        <v>10</v>
      </c>
      <c r="W157" s="40" t="s">
        <v>2</v>
      </c>
      <c r="X157" s="44"/>
      <c r="Y157" s="45"/>
      <c r="Z157" s="45"/>
      <c r="AA157" s="45"/>
      <c r="AB157" s="45" t="s">
        <v>174</v>
      </c>
      <c r="AC157" s="51">
        <v>7</v>
      </c>
      <c r="AD157" s="45"/>
      <c r="AE157" s="45" t="str">
        <f t="shared" si="5"/>
        <v>Neutro</v>
      </c>
    </row>
    <row r="158" spans="1:31" x14ac:dyDescent="0.25">
      <c r="A158" s="5" t="s">
        <v>267</v>
      </c>
      <c r="B158" s="6">
        <v>10110</v>
      </c>
      <c r="C158" s="6">
        <v>2</v>
      </c>
      <c r="D158" s="6" t="s">
        <v>4</v>
      </c>
      <c r="E158" s="6">
        <v>21</v>
      </c>
      <c r="F158" s="6" t="s">
        <v>13</v>
      </c>
      <c r="G158" s="6">
        <v>211</v>
      </c>
      <c r="H158" s="12" t="s">
        <v>153</v>
      </c>
      <c r="I158" s="14" t="s">
        <v>93</v>
      </c>
      <c r="J158" s="13">
        <v>44533</v>
      </c>
      <c r="K158" s="27"/>
      <c r="L158" s="28">
        <v>2014.58</v>
      </c>
      <c r="M158" s="12" t="s">
        <v>224</v>
      </c>
      <c r="N158" s="29">
        <v>414.76</v>
      </c>
      <c r="O158" s="3">
        <v>3.408986175115214E-2</v>
      </c>
      <c r="P158" s="12">
        <v>110</v>
      </c>
      <c r="Q158" s="12"/>
      <c r="R158" s="14" t="s">
        <v>161</v>
      </c>
      <c r="S158" s="30">
        <v>11055417000197</v>
      </c>
      <c r="T158" s="6">
        <v>2022</v>
      </c>
      <c r="U158" s="26" t="s">
        <v>236</v>
      </c>
      <c r="V158" s="26">
        <v>10</v>
      </c>
      <c r="W158" s="29">
        <v>39590.589999999997</v>
      </c>
      <c r="X158" s="4" t="s">
        <v>211</v>
      </c>
      <c r="Y158" s="31"/>
      <c r="Z158" s="31"/>
      <c r="AA158" s="31"/>
      <c r="AB158" s="31" t="s">
        <v>174</v>
      </c>
      <c r="AC158" s="52">
        <v>7</v>
      </c>
      <c r="AD158" s="31"/>
      <c r="AE158" s="31" t="str">
        <f t="shared" si="5"/>
        <v>Neutro</v>
      </c>
    </row>
    <row r="159" spans="1:31" x14ac:dyDescent="0.25">
      <c r="A159" s="16" t="s">
        <v>267</v>
      </c>
      <c r="B159" s="17">
        <v>10110</v>
      </c>
      <c r="C159" s="17">
        <v>2</v>
      </c>
      <c r="D159" s="17" t="s">
        <v>4</v>
      </c>
      <c r="E159" s="17">
        <v>21</v>
      </c>
      <c r="F159" s="17" t="s">
        <v>13</v>
      </c>
      <c r="G159" s="17">
        <v>211</v>
      </c>
      <c r="H159" s="23" t="s">
        <v>141</v>
      </c>
      <c r="I159" s="38" t="s">
        <v>92</v>
      </c>
      <c r="J159" s="24">
        <v>42554</v>
      </c>
      <c r="K159" s="24"/>
      <c r="L159" s="39">
        <v>1466.73</v>
      </c>
      <c r="M159" s="23" t="s">
        <v>224</v>
      </c>
      <c r="N159" s="40">
        <v>414.76</v>
      </c>
      <c r="O159" s="41">
        <v>0</v>
      </c>
      <c r="P159" s="23">
        <v>133</v>
      </c>
      <c r="Q159" s="23" t="s">
        <v>145</v>
      </c>
      <c r="R159" s="38" t="s">
        <v>158</v>
      </c>
      <c r="S159" s="42">
        <v>11055417000203</v>
      </c>
      <c r="T159" s="17">
        <v>2022</v>
      </c>
      <c r="U159" s="43" t="s">
        <v>236</v>
      </c>
      <c r="V159" s="43">
        <v>10</v>
      </c>
      <c r="W159" s="40">
        <v>47508.71</v>
      </c>
      <c r="X159" s="44" t="s">
        <v>211</v>
      </c>
      <c r="Y159" s="45" t="s">
        <v>174</v>
      </c>
      <c r="Z159" s="45" t="s">
        <v>215</v>
      </c>
      <c r="AA159" s="45" t="s">
        <v>174</v>
      </c>
      <c r="AB159" s="45" t="s">
        <v>175</v>
      </c>
      <c r="AC159" s="51">
        <v>3</v>
      </c>
      <c r="AD159" s="45"/>
      <c r="AE159" s="45" t="str">
        <f t="shared" si="5"/>
        <v>Detrator</v>
      </c>
    </row>
    <row r="160" spans="1:31" x14ac:dyDescent="0.25">
      <c r="A160" s="5" t="s">
        <v>267</v>
      </c>
      <c r="B160" s="6">
        <v>10110</v>
      </c>
      <c r="C160" s="6">
        <v>2</v>
      </c>
      <c r="D160" s="6" t="s">
        <v>4</v>
      </c>
      <c r="E160" s="6">
        <v>21</v>
      </c>
      <c r="F160" s="6" t="s">
        <v>13</v>
      </c>
      <c r="G160" s="6">
        <v>211</v>
      </c>
      <c r="H160" s="12" t="s">
        <v>141</v>
      </c>
      <c r="I160" s="14" t="s">
        <v>93</v>
      </c>
      <c r="J160" s="13">
        <v>44533</v>
      </c>
      <c r="K160" s="27"/>
      <c r="L160" s="28">
        <v>2014.58</v>
      </c>
      <c r="M160" s="12" t="s">
        <v>225</v>
      </c>
      <c r="N160" s="29">
        <v>924.58</v>
      </c>
      <c r="O160" s="3">
        <v>3.4059743660419528E-3</v>
      </c>
      <c r="P160" s="12">
        <v>498</v>
      </c>
      <c r="Q160" s="12"/>
      <c r="R160" s="14" t="s">
        <v>159</v>
      </c>
      <c r="S160" s="30">
        <v>11055417000191</v>
      </c>
      <c r="T160" s="6">
        <v>2022</v>
      </c>
      <c r="U160" s="26" t="s">
        <v>236</v>
      </c>
      <c r="V160" s="26">
        <v>10</v>
      </c>
      <c r="W160" s="29">
        <v>397146.52</v>
      </c>
      <c r="X160" s="4" t="s">
        <v>211</v>
      </c>
      <c r="Y160" s="31"/>
      <c r="Z160" s="31"/>
      <c r="AA160" s="31"/>
      <c r="AB160" s="31" t="s">
        <v>174</v>
      </c>
      <c r="AC160" s="52">
        <v>4</v>
      </c>
      <c r="AD160" s="31"/>
      <c r="AE160" s="31" t="str">
        <f t="shared" si="5"/>
        <v>Detrator</v>
      </c>
    </row>
    <row r="161" spans="1:31" x14ac:dyDescent="0.25">
      <c r="A161" s="16" t="s">
        <v>267</v>
      </c>
      <c r="B161" s="17">
        <v>10110</v>
      </c>
      <c r="C161" s="17">
        <v>2</v>
      </c>
      <c r="D161" s="17" t="s">
        <v>4</v>
      </c>
      <c r="E161" s="17">
        <v>21</v>
      </c>
      <c r="F161" s="17" t="s">
        <v>13</v>
      </c>
      <c r="G161" s="17">
        <v>211</v>
      </c>
      <c r="H161" s="23" t="s">
        <v>141</v>
      </c>
      <c r="I161" s="38" t="s">
        <v>88</v>
      </c>
      <c r="J161" s="24">
        <v>42981</v>
      </c>
      <c r="K161" s="24"/>
      <c r="L161" s="39">
        <v>1243.3399999999999</v>
      </c>
      <c r="M161" s="23" t="s">
        <v>225</v>
      </c>
      <c r="N161" s="40">
        <v>924.58</v>
      </c>
      <c r="O161" s="41">
        <v>0</v>
      </c>
      <c r="P161" s="23">
        <v>599</v>
      </c>
      <c r="Q161" s="23" t="s">
        <v>145</v>
      </c>
      <c r="R161" s="38" t="s">
        <v>160</v>
      </c>
      <c r="S161" s="42">
        <v>11055417000178</v>
      </c>
      <c r="T161" s="17">
        <v>2022</v>
      </c>
      <c r="U161" s="43" t="s">
        <v>236</v>
      </c>
      <c r="V161" s="43">
        <v>10</v>
      </c>
      <c r="W161" s="40">
        <v>478340.92</v>
      </c>
      <c r="X161" s="44" t="s">
        <v>211</v>
      </c>
      <c r="Y161" s="45"/>
      <c r="Z161" s="45"/>
      <c r="AA161" s="45"/>
      <c r="AB161" s="45" t="s">
        <v>174</v>
      </c>
      <c r="AC161" s="51">
        <v>6</v>
      </c>
      <c r="AD161" s="45"/>
      <c r="AE161" s="45" t="str">
        <f t="shared" si="5"/>
        <v>Detrator</v>
      </c>
    </row>
    <row r="162" spans="1:31" x14ac:dyDescent="0.25">
      <c r="A162" s="5" t="s">
        <v>267</v>
      </c>
      <c r="B162" s="6">
        <v>10110</v>
      </c>
      <c r="C162" s="6">
        <v>2</v>
      </c>
      <c r="D162" s="6" t="s">
        <v>4</v>
      </c>
      <c r="E162" s="6">
        <v>21</v>
      </c>
      <c r="F162" s="6" t="s">
        <v>13</v>
      </c>
      <c r="G162" s="6">
        <v>211</v>
      </c>
      <c r="H162" s="12" t="s">
        <v>141</v>
      </c>
      <c r="I162" s="14" t="s">
        <v>89</v>
      </c>
      <c r="J162" s="9">
        <v>44533</v>
      </c>
      <c r="K162" s="27"/>
      <c r="L162" s="28">
        <v>1243.56</v>
      </c>
      <c r="M162" s="12" t="s">
        <v>224</v>
      </c>
      <c r="N162" s="29">
        <v>414.76</v>
      </c>
      <c r="O162" s="3">
        <v>0</v>
      </c>
      <c r="P162" s="12">
        <v>273</v>
      </c>
      <c r="Q162" s="12" t="s">
        <v>145</v>
      </c>
      <c r="R162" s="14" t="s">
        <v>161</v>
      </c>
      <c r="S162" s="30">
        <v>11055417000197</v>
      </c>
      <c r="T162" s="6">
        <v>2022</v>
      </c>
      <c r="U162" s="26" t="s">
        <v>236</v>
      </c>
      <c r="V162" s="26">
        <v>10</v>
      </c>
      <c r="W162" s="29">
        <v>97419.98</v>
      </c>
      <c r="X162" s="31" t="s">
        <v>222</v>
      </c>
      <c r="Y162" s="31" t="s">
        <v>174</v>
      </c>
      <c r="Z162" s="31" t="s">
        <v>215</v>
      </c>
      <c r="AA162" s="31" t="s">
        <v>175</v>
      </c>
      <c r="AB162" s="31" t="s">
        <v>175</v>
      </c>
      <c r="AC162" s="52">
        <v>2</v>
      </c>
      <c r="AD162" s="31"/>
      <c r="AE162" s="31" t="str">
        <f t="shared" si="5"/>
        <v>Detrator</v>
      </c>
    </row>
    <row r="163" spans="1:31" x14ac:dyDescent="0.25">
      <c r="A163" s="16" t="s">
        <v>267</v>
      </c>
      <c r="B163" s="17">
        <v>10110</v>
      </c>
      <c r="C163" s="17">
        <v>2</v>
      </c>
      <c r="D163" s="17" t="s">
        <v>4</v>
      </c>
      <c r="E163" s="17">
        <v>21</v>
      </c>
      <c r="F163" s="17" t="s">
        <v>13</v>
      </c>
      <c r="G163" s="17">
        <v>211</v>
      </c>
      <c r="H163" s="23" t="s">
        <v>141</v>
      </c>
      <c r="I163" s="38" t="s">
        <v>88</v>
      </c>
      <c r="J163" s="24">
        <v>42981</v>
      </c>
      <c r="K163" s="24"/>
      <c r="L163" s="39">
        <v>1243.3399999999999</v>
      </c>
      <c r="M163" s="23" t="s">
        <v>224</v>
      </c>
      <c r="N163" s="40">
        <v>414.76</v>
      </c>
      <c r="O163" s="41">
        <v>0</v>
      </c>
      <c r="P163" s="23" t="s">
        <v>2</v>
      </c>
      <c r="Q163" s="23" t="s">
        <v>145</v>
      </c>
      <c r="R163" s="38" t="s">
        <v>161</v>
      </c>
      <c r="S163" s="42">
        <v>11055417000197</v>
      </c>
      <c r="T163" s="17">
        <v>2022</v>
      </c>
      <c r="U163" s="43" t="s">
        <v>236</v>
      </c>
      <c r="V163" s="43">
        <v>10</v>
      </c>
      <c r="W163" s="40" t="s">
        <v>2</v>
      </c>
      <c r="X163" s="44"/>
      <c r="Y163" s="45"/>
      <c r="Z163" s="45"/>
      <c r="AA163" s="45"/>
      <c r="AB163" s="45" t="s">
        <v>174</v>
      </c>
      <c r="AC163" s="51">
        <v>7</v>
      </c>
      <c r="AD163" s="45"/>
      <c r="AE163" s="45" t="str">
        <f t="shared" si="5"/>
        <v>Neutro</v>
      </c>
    </row>
    <row r="164" spans="1:31" x14ac:dyDescent="0.25">
      <c r="A164" s="14" t="s">
        <v>267</v>
      </c>
      <c r="B164" s="12">
        <v>10110</v>
      </c>
      <c r="C164" s="12">
        <v>2</v>
      </c>
      <c r="D164" s="12" t="s">
        <v>4</v>
      </c>
      <c r="E164" s="12">
        <v>21</v>
      </c>
      <c r="F164" s="12" t="s">
        <v>13</v>
      </c>
      <c r="G164" s="12">
        <v>211</v>
      </c>
      <c r="H164" s="12" t="s">
        <v>141</v>
      </c>
      <c r="I164" s="7" t="s">
        <v>92</v>
      </c>
      <c r="J164" s="15">
        <v>42554</v>
      </c>
      <c r="K164" s="32"/>
      <c r="L164" s="28">
        <v>1466.73</v>
      </c>
      <c r="M164" s="12" t="s">
        <v>224</v>
      </c>
      <c r="N164" s="29">
        <v>377.05</v>
      </c>
      <c r="O164" s="3">
        <v>6.4924292297564579E-3</v>
      </c>
      <c r="P164" s="12" t="s">
        <v>2</v>
      </c>
      <c r="Q164" s="12"/>
      <c r="R164" s="14" t="s">
        <v>251</v>
      </c>
      <c r="S164" s="30">
        <v>11055417007178</v>
      </c>
      <c r="T164" s="12">
        <v>2022</v>
      </c>
      <c r="U164" s="26" t="s">
        <v>233</v>
      </c>
      <c r="V164" s="26">
        <v>11</v>
      </c>
      <c r="W164" s="29" t="s">
        <v>2</v>
      </c>
      <c r="X164" s="4"/>
      <c r="Y164" s="12"/>
      <c r="Z164" s="12"/>
      <c r="AA164" s="12"/>
      <c r="AB164" s="31" t="s">
        <v>174</v>
      </c>
      <c r="AC164" s="52">
        <v>8</v>
      </c>
      <c r="AD164" s="31" t="s">
        <v>177</v>
      </c>
      <c r="AE164" s="31" t="str">
        <f t="shared" si="5"/>
        <v>Neutro</v>
      </c>
    </row>
    <row r="165" spans="1:31" x14ac:dyDescent="0.25">
      <c r="A165" s="16" t="s">
        <v>267</v>
      </c>
      <c r="B165" s="17">
        <v>10110</v>
      </c>
      <c r="C165" s="17">
        <v>2</v>
      </c>
      <c r="D165" s="17" t="s">
        <v>4</v>
      </c>
      <c r="E165" s="17">
        <v>21</v>
      </c>
      <c r="F165" s="17" t="s">
        <v>13</v>
      </c>
      <c r="G165" s="17">
        <v>211</v>
      </c>
      <c r="H165" s="23" t="s">
        <v>153</v>
      </c>
      <c r="I165" s="38" t="s">
        <v>93</v>
      </c>
      <c r="J165" s="24">
        <v>44533</v>
      </c>
      <c r="K165" s="24"/>
      <c r="L165" s="39">
        <v>2014.58</v>
      </c>
      <c r="M165" s="23" t="s">
        <v>224</v>
      </c>
      <c r="N165" s="40">
        <v>377.05</v>
      </c>
      <c r="O165" s="41">
        <v>3.408986175115214E-2</v>
      </c>
      <c r="P165" s="23">
        <v>108</v>
      </c>
      <c r="Q165" s="23"/>
      <c r="R165" s="38" t="s">
        <v>161</v>
      </c>
      <c r="S165" s="42">
        <v>11055417000197</v>
      </c>
      <c r="T165" s="17">
        <v>2022</v>
      </c>
      <c r="U165" s="43" t="s">
        <v>233</v>
      </c>
      <c r="V165" s="43">
        <v>11</v>
      </c>
      <c r="W165" s="40">
        <v>35065.949999999997</v>
      </c>
      <c r="X165" s="44" t="s">
        <v>222</v>
      </c>
      <c r="Y165" s="45"/>
      <c r="Z165" s="45"/>
      <c r="AA165" s="45"/>
      <c r="AB165" s="45" t="s">
        <v>174</v>
      </c>
      <c r="AC165" s="51">
        <v>7</v>
      </c>
      <c r="AD165" s="45"/>
      <c r="AE165" s="45" t="str">
        <f t="shared" si="5"/>
        <v>Neutro</v>
      </c>
    </row>
    <row r="166" spans="1:31" x14ac:dyDescent="0.25">
      <c r="A166" s="14" t="s">
        <v>267</v>
      </c>
      <c r="B166" s="12">
        <v>10110</v>
      </c>
      <c r="C166" s="12">
        <v>2</v>
      </c>
      <c r="D166" s="12" t="s">
        <v>4</v>
      </c>
      <c r="E166" s="12">
        <v>21</v>
      </c>
      <c r="F166" s="12" t="s">
        <v>13</v>
      </c>
      <c r="G166" s="12">
        <v>211</v>
      </c>
      <c r="H166" s="12" t="s">
        <v>141</v>
      </c>
      <c r="I166" s="7" t="s">
        <v>92</v>
      </c>
      <c r="J166" s="15">
        <v>42554</v>
      </c>
      <c r="K166" s="32"/>
      <c r="L166" s="28">
        <v>1466.73</v>
      </c>
      <c r="M166" s="12" t="s">
        <v>224</v>
      </c>
      <c r="N166" s="29">
        <v>377.05</v>
      </c>
      <c r="O166" s="3">
        <v>0</v>
      </c>
      <c r="P166" s="12">
        <v>490</v>
      </c>
      <c r="Q166" s="12" t="s">
        <v>145</v>
      </c>
      <c r="R166" s="14" t="s">
        <v>252</v>
      </c>
      <c r="S166" s="30">
        <v>11055417007203</v>
      </c>
      <c r="T166" s="12">
        <v>2022</v>
      </c>
      <c r="U166" s="26" t="s">
        <v>233</v>
      </c>
      <c r="V166" s="26">
        <v>11</v>
      </c>
      <c r="W166" s="29">
        <v>159493.51</v>
      </c>
      <c r="X166" s="4" t="s">
        <v>211</v>
      </c>
      <c r="Y166" s="12" t="s">
        <v>174</v>
      </c>
      <c r="Z166" s="12" t="s">
        <v>217</v>
      </c>
      <c r="AA166" s="31" t="s">
        <v>174</v>
      </c>
      <c r="AB166" s="12" t="s">
        <v>175</v>
      </c>
      <c r="AC166" s="52">
        <v>0</v>
      </c>
      <c r="AD166" s="31" t="s">
        <v>177</v>
      </c>
      <c r="AE166" s="31" t="str">
        <f t="shared" si="5"/>
        <v>Detrator</v>
      </c>
    </row>
    <row r="167" spans="1:31" x14ac:dyDescent="0.25">
      <c r="A167" s="16" t="s">
        <v>267</v>
      </c>
      <c r="B167" s="17">
        <v>10110</v>
      </c>
      <c r="C167" s="17">
        <v>2</v>
      </c>
      <c r="D167" s="17" t="s">
        <v>4</v>
      </c>
      <c r="E167" s="17">
        <v>21</v>
      </c>
      <c r="F167" s="17" t="s">
        <v>13</v>
      </c>
      <c r="G167" s="17">
        <v>211</v>
      </c>
      <c r="H167" s="23" t="s">
        <v>141</v>
      </c>
      <c r="I167" s="38" t="s">
        <v>93</v>
      </c>
      <c r="J167" s="24">
        <v>44533</v>
      </c>
      <c r="K167" s="24"/>
      <c r="L167" s="39">
        <v>2014.58</v>
      </c>
      <c r="M167" s="23" t="s">
        <v>225</v>
      </c>
      <c r="N167" s="40">
        <v>840.52</v>
      </c>
      <c r="O167" s="41">
        <v>3.4059743660419528E-3</v>
      </c>
      <c r="P167" s="23">
        <v>463</v>
      </c>
      <c r="Q167" s="23"/>
      <c r="R167" s="38" t="s">
        <v>253</v>
      </c>
      <c r="S167" s="42">
        <v>11055417007191</v>
      </c>
      <c r="T167" s="17">
        <v>2022</v>
      </c>
      <c r="U167" s="43" t="s">
        <v>233</v>
      </c>
      <c r="V167" s="43">
        <v>11</v>
      </c>
      <c r="W167" s="40">
        <v>336208.7</v>
      </c>
      <c r="X167" s="44" t="s">
        <v>211</v>
      </c>
      <c r="Y167" s="45"/>
      <c r="Z167" s="45"/>
      <c r="AA167" s="45"/>
      <c r="AB167" s="45" t="s">
        <v>174</v>
      </c>
      <c r="AC167" s="51">
        <v>9</v>
      </c>
      <c r="AD167" s="45" t="s">
        <v>177</v>
      </c>
      <c r="AE167" s="45" t="str">
        <f t="shared" si="5"/>
        <v>Promotor</v>
      </c>
    </row>
    <row r="168" spans="1:31" x14ac:dyDescent="0.25">
      <c r="A168" s="14" t="s">
        <v>267</v>
      </c>
      <c r="B168" s="12">
        <v>10110</v>
      </c>
      <c r="C168" s="12">
        <v>2</v>
      </c>
      <c r="D168" s="12" t="s">
        <v>4</v>
      </c>
      <c r="E168" s="12">
        <v>21</v>
      </c>
      <c r="F168" s="12" t="s">
        <v>13</v>
      </c>
      <c r="G168" s="12">
        <v>211</v>
      </c>
      <c r="H168" s="12" t="s">
        <v>141</v>
      </c>
      <c r="I168" s="7" t="s">
        <v>88</v>
      </c>
      <c r="J168" s="15">
        <v>42981</v>
      </c>
      <c r="K168" s="32"/>
      <c r="L168" s="28">
        <v>1243.3399999999999</v>
      </c>
      <c r="M168" s="12" t="s">
        <v>225</v>
      </c>
      <c r="N168" s="29">
        <v>840.52</v>
      </c>
      <c r="O168" s="3">
        <v>0</v>
      </c>
      <c r="P168" s="12">
        <v>436</v>
      </c>
      <c r="Q168" s="12" t="s">
        <v>145</v>
      </c>
      <c r="R168" s="14" t="s">
        <v>160</v>
      </c>
      <c r="S168" s="30">
        <v>11055417000178</v>
      </c>
      <c r="T168" s="12">
        <v>2022</v>
      </c>
      <c r="U168" s="26" t="s">
        <v>233</v>
      </c>
      <c r="V168" s="26">
        <v>11</v>
      </c>
      <c r="W168" s="29">
        <v>316036.17</v>
      </c>
      <c r="X168" s="4" t="s">
        <v>211</v>
      </c>
      <c r="Y168" s="12"/>
      <c r="Z168" s="12"/>
      <c r="AA168" s="12"/>
      <c r="AB168" s="31" t="s">
        <v>174</v>
      </c>
      <c r="AC168" s="52">
        <v>7</v>
      </c>
      <c r="AD168" s="31"/>
      <c r="AE168" s="31" t="str">
        <f t="shared" si="5"/>
        <v>Neutro</v>
      </c>
    </row>
    <row r="169" spans="1:31" x14ac:dyDescent="0.25">
      <c r="A169" s="16" t="s">
        <v>267</v>
      </c>
      <c r="B169" s="17">
        <v>10110</v>
      </c>
      <c r="C169" s="17">
        <v>2</v>
      </c>
      <c r="D169" s="17" t="s">
        <v>4</v>
      </c>
      <c r="E169" s="17">
        <v>21</v>
      </c>
      <c r="F169" s="17" t="s">
        <v>13</v>
      </c>
      <c r="G169" s="17">
        <v>211</v>
      </c>
      <c r="H169" s="23" t="s">
        <v>141</v>
      </c>
      <c r="I169" s="38" t="s">
        <v>89</v>
      </c>
      <c r="J169" s="24">
        <v>44533</v>
      </c>
      <c r="K169" s="24"/>
      <c r="L169" s="39">
        <v>1243.56</v>
      </c>
      <c r="M169" s="23" t="s">
        <v>224</v>
      </c>
      <c r="N169" s="40">
        <v>377.05</v>
      </c>
      <c r="O169" s="41">
        <v>0</v>
      </c>
      <c r="P169" s="23">
        <v>174</v>
      </c>
      <c r="Q169" s="23" t="s">
        <v>145</v>
      </c>
      <c r="R169" s="38" t="s">
        <v>161</v>
      </c>
      <c r="S169" s="42">
        <v>11055417000197</v>
      </c>
      <c r="T169" s="17">
        <v>2022</v>
      </c>
      <c r="U169" s="43" t="s">
        <v>233</v>
      </c>
      <c r="V169" s="43">
        <v>11</v>
      </c>
      <c r="W169" s="40">
        <v>62616.67</v>
      </c>
      <c r="X169" s="44" t="s">
        <v>211</v>
      </c>
      <c r="Y169" s="45" t="s">
        <v>174</v>
      </c>
      <c r="Z169" s="45" t="s">
        <v>217</v>
      </c>
      <c r="AA169" s="45" t="s">
        <v>175</v>
      </c>
      <c r="AB169" s="45" t="s">
        <v>175</v>
      </c>
      <c r="AC169" s="51">
        <v>1</v>
      </c>
      <c r="AD169" s="45"/>
      <c r="AE169" s="45" t="str">
        <f t="shared" si="5"/>
        <v>Detrator</v>
      </c>
    </row>
    <row r="170" spans="1:31" x14ac:dyDescent="0.25">
      <c r="A170" s="14" t="s">
        <v>267</v>
      </c>
      <c r="B170" s="12">
        <v>10110</v>
      </c>
      <c r="C170" s="12">
        <v>2</v>
      </c>
      <c r="D170" s="12" t="s">
        <v>4</v>
      </c>
      <c r="E170" s="12">
        <v>21</v>
      </c>
      <c r="F170" s="12" t="s">
        <v>13</v>
      </c>
      <c r="G170" s="12">
        <v>211</v>
      </c>
      <c r="H170" s="12" t="s">
        <v>141</v>
      </c>
      <c r="I170" s="7" t="s">
        <v>88</v>
      </c>
      <c r="J170" s="62">
        <v>42981</v>
      </c>
      <c r="K170" s="32"/>
      <c r="L170" s="28">
        <v>1243.3399999999999</v>
      </c>
      <c r="M170" s="12" t="s">
        <v>224</v>
      </c>
      <c r="N170" s="29">
        <v>377.05</v>
      </c>
      <c r="O170" s="3">
        <v>0</v>
      </c>
      <c r="P170" s="12" t="s">
        <v>2</v>
      </c>
      <c r="Q170" s="12" t="s">
        <v>145</v>
      </c>
      <c r="R170" s="14" t="s">
        <v>161</v>
      </c>
      <c r="S170" s="30">
        <v>11055417000197</v>
      </c>
      <c r="T170" s="12">
        <v>2022</v>
      </c>
      <c r="U170" s="12" t="s">
        <v>233</v>
      </c>
      <c r="V170" s="12">
        <v>11</v>
      </c>
      <c r="W170" s="29" t="s">
        <v>2</v>
      </c>
      <c r="X170" s="4"/>
      <c r="Y170" s="12"/>
      <c r="Z170" s="12"/>
      <c r="AA170" s="12"/>
      <c r="AB170" s="31" t="s">
        <v>174</v>
      </c>
      <c r="AC170" s="52">
        <v>7</v>
      </c>
      <c r="AD170" s="31"/>
      <c r="AE170" s="31" t="str">
        <f t="shared" si="5"/>
        <v>Neutro</v>
      </c>
    </row>
    <row r="171" spans="1:31" x14ac:dyDescent="0.25">
      <c r="A171" s="16" t="s">
        <v>267</v>
      </c>
      <c r="B171" s="17">
        <v>10110</v>
      </c>
      <c r="C171" s="17">
        <v>2</v>
      </c>
      <c r="D171" s="17" t="s">
        <v>4</v>
      </c>
      <c r="E171" s="17">
        <v>21</v>
      </c>
      <c r="F171" s="17" t="s">
        <v>13</v>
      </c>
      <c r="G171" s="17">
        <v>211</v>
      </c>
      <c r="H171" s="23" t="s">
        <v>141</v>
      </c>
      <c r="I171" s="38" t="s">
        <v>92</v>
      </c>
      <c r="J171" s="24">
        <v>42554</v>
      </c>
      <c r="K171" s="24"/>
      <c r="L171" s="39">
        <v>1466.73</v>
      </c>
      <c r="M171" s="23" t="s">
        <v>224</v>
      </c>
      <c r="N171" s="40">
        <v>377.05</v>
      </c>
      <c r="O171" s="41">
        <v>6.4924292297564579E-3</v>
      </c>
      <c r="P171" s="23" t="s">
        <v>2</v>
      </c>
      <c r="Q171" s="23"/>
      <c r="R171" s="38" t="s">
        <v>254</v>
      </c>
      <c r="S171" s="42">
        <v>11055417003178</v>
      </c>
      <c r="T171" s="17">
        <v>2022</v>
      </c>
      <c r="U171" s="43" t="s">
        <v>234</v>
      </c>
      <c r="V171" s="43">
        <v>12</v>
      </c>
      <c r="W171" s="40" t="s">
        <v>2</v>
      </c>
      <c r="X171" s="44"/>
      <c r="Y171" s="45"/>
      <c r="Z171" s="45"/>
      <c r="AA171" s="45"/>
      <c r="AB171" s="45" t="s">
        <v>174</v>
      </c>
      <c r="AC171" s="51">
        <v>7</v>
      </c>
      <c r="AD171" s="45" t="s">
        <v>177</v>
      </c>
      <c r="AE171" s="45" t="str">
        <f t="shared" si="5"/>
        <v>Neutro</v>
      </c>
    </row>
    <row r="172" spans="1:31" x14ac:dyDescent="0.25">
      <c r="A172" s="5" t="s">
        <v>267</v>
      </c>
      <c r="B172" s="6">
        <v>10110</v>
      </c>
      <c r="C172" s="6">
        <v>2</v>
      </c>
      <c r="D172" s="6" t="s">
        <v>4</v>
      </c>
      <c r="E172" s="6">
        <v>21</v>
      </c>
      <c r="F172" s="6" t="s">
        <v>13</v>
      </c>
      <c r="G172" s="6">
        <v>211</v>
      </c>
      <c r="H172" s="12" t="s">
        <v>153</v>
      </c>
      <c r="I172" s="14" t="s">
        <v>93</v>
      </c>
      <c r="J172" s="13">
        <v>44533</v>
      </c>
      <c r="K172" s="27"/>
      <c r="L172" s="28">
        <v>2014.58</v>
      </c>
      <c r="M172" s="12" t="s">
        <v>224</v>
      </c>
      <c r="N172" s="29">
        <v>377.05</v>
      </c>
      <c r="O172" s="3">
        <v>3.408986175115214E-2</v>
      </c>
      <c r="P172" s="12">
        <v>116</v>
      </c>
      <c r="Q172" s="12"/>
      <c r="R172" s="14" t="s">
        <v>161</v>
      </c>
      <c r="S172" s="30">
        <v>11055417000197</v>
      </c>
      <c r="T172" s="6">
        <v>2022</v>
      </c>
      <c r="U172" s="12" t="s">
        <v>234</v>
      </c>
      <c r="V172" s="12">
        <v>12</v>
      </c>
      <c r="W172" s="29">
        <v>37705.33</v>
      </c>
      <c r="X172" s="4" t="s">
        <v>211</v>
      </c>
      <c r="Y172" s="31"/>
      <c r="Z172" s="31"/>
      <c r="AA172" s="31"/>
      <c r="AB172" s="31" t="s">
        <v>174</v>
      </c>
      <c r="AC172" s="52">
        <v>7</v>
      </c>
      <c r="AD172" s="31"/>
      <c r="AE172" s="31" t="str">
        <f t="shared" si="5"/>
        <v>Neutro</v>
      </c>
    </row>
    <row r="173" spans="1:31" x14ac:dyDescent="0.25">
      <c r="A173" s="16" t="s">
        <v>267</v>
      </c>
      <c r="B173" s="17">
        <v>10110</v>
      </c>
      <c r="C173" s="17">
        <v>2</v>
      </c>
      <c r="D173" s="17" t="s">
        <v>4</v>
      </c>
      <c r="E173" s="17">
        <v>21</v>
      </c>
      <c r="F173" s="17" t="s">
        <v>13</v>
      </c>
      <c r="G173" s="17">
        <v>211</v>
      </c>
      <c r="H173" s="23" t="s">
        <v>141</v>
      </c>
      <c r="I173" s="38" t="s">
        <v>92</v>
      </c>
      <c r="J173" s="24">
        <v>42554</v>
      </c>
      <c r="K173" s="24"/>
      <c r="L173" s="39">
        <v>1466.73</v>
      </c>
      <c r="M173" s="23" t="s">
        <v>224</v>
      </c>
      <c r="N173" s="40">
        <v>377.05</v>
      </c>
      <c r="O173" s="41">
        <v>0</v>
      </c>
      <c r="P173" s="23">
        <v>139</v>
      </c>
      <c r="Q173" s="23" t="s">
        <v>145</v>
      </c>
      <c r="R173" s="38" t="s">
        <v>158</v>
      </c>
      <c r="S173" s="42">
        <v>11055417000203</v>
      </c>
      <c r="T173" s="17">
        <v>2022</v>
      </c>
      <c r="U173" s="43" t="s">
        <v>234</v>
      </c>
      <c r="V173" s="43">
        <v>12</v>
      </c>
      <c r="W173" s="40">
        <v>45246.38</v>
      </c>
      <c r="X173" s="44" t="s">
        <v>211</v>
      </c>
      <c r="Y173" s="45" t="s">
        <v>174</v>
      </c>
      <c r="Z173" s="45" t="s">
        <v>215</v>
      </c>
      <c r="AA173" s="45" t="s">
        <v>174</v>
      </c>
      <c r="AB173" s="45" t="s">
        <v>175</v>
      </c>
      <c r="AC173" s="51">
        <v>1</v>
      </c>
      <c r="AD173" s="45"/>
      <c r="AE173" s="45" t="str">
        <f t="shared" si="5"/>
        <v>Detrator</v>
      </c>
    </row>
    <row r="174" spans="1:31" x14ac:dyDescent="0.25">
      <c r="A174" s="5" t="s">
        <v>267</v>
      </c>
      <c r="B174" s="6">
        <v>10110</v>
      </c>
      <c r="C174" s="6">
        <v>2</v>
      </c>
      <c r="D174" s="6" t="s">
        <v>4</v>
      </c>
      <c r="E174" s="6">
        <v>21</v>
      </c>
      <c r="F174" s="6" t="s">
        <v>13</v>
      </c>
      <c r="G174" s="6">
        <v>211</v>
      </c>
      <c r="H174" s="12" t="s">
        <v>141</v>
      </c>
      <c r="I174" s="14" t="s">
        <v>93</v>
      </c>
      <c r="J174" s="13">
        <v>44533</v>
      </c>
      <c r="K174" s="27"/>
      <c r="L174" s="28">
        <v>2014.58</v>
      </c>
      <c r="M174" s="12" t="s">
        <v>225</v>
      </c>
      <c r="N174" s="29">
        <v>840.52</v>
      </c>
      <c r="O174" s="3">
        <v>3.4059743660419528E-3</v>
      </c>
      <c r="P174" s="12">
        <v>521</v>
      </c>
      <c r="Q174" s="12"/>
      <c r="R174" s="14" t="s">
        <v>159</v>
      </c>
      <c r="S174" s="30">
        <v>11055417000191</v>
      </c>
      <c r="T174" s="6">
        <v>2022</v>
      </c>
      <c r="U174" s="12" t="s">
        <v>234</v>
      </c>
      <c r="V174" s="12">
        <v>12</v>
      </c>
      <c r="W174" s="29">
        <v>378234.78</v>
      </c>
      <c r="X174" s="4" t="s">
        <v>211</v>
      </c>
      <c r="Y174" s="31"/>
      <c r="Z174" s="31"/>
      <c r="AA174" s="31"/>
      <c r="AB174" s="31" t="s">
        <v>174</v>
      </c>
      <c r="AC174" s="52">
        <v>7</v>
      </c>
      <c r="AD174" s="31"/>
      <c r="AE174" s="31" t="str">
        <f t="shared" si="5"/>
        <v>Neutro</v>
      </c>
    </row>
    <row r="175" spans="1:31" x14ac:dyDescent="0.25">
      <c r="A175" s="16" t="s">
        <v>267</v>
      </c>
      <c r="B175" s="17">
        <v>10110</v>
      </c>
      <c r="C175" s="17">
        <v>2</v>
      </c>
      <c r="D175" s="17" t="s">
        <v>4</v>
      </c>
      <c r="E175" s="17">
        <v>21</v>
      </c>
      <c r="F175" s="17" t="s">
        <v>13</v>
      </c>
      <c r="G175" s="17">
        <v>211</v>
      </c>
      <c r="H175" s="23" t="s">
        <v>141</v>
      </c>
      <c r="I175" s="38" t="s">
        <v>88</v>
      </c>
      <c r="J175" s="24">
        <v>42981</v>
      </c>
      <c r="K175" s="24"/>
      <c r="L175" s="39">
        <v>1243.3399999999999</v>
      </c>
      <c r="M175" s="23" t="s">
        <v>225</v>
      </c>
      <c r="N175" s="40">
        <v>840.52</v>
      </c>
      <c r="O175" s="41">
        <v>0</v>
      </c>
      <c r="P175" s="23">
        <v>628</v>
      </c>
      <c r="Q175" s="23" t="s">
        <v>145</v>
      </c>
      <c r="R175" s="38" t="s">
        <v>160</v>
      </c>
      <c r="S175" s="42">
        <v>11055417000178</v>
      </c>
      <c r="T175" s="17">
        <v>2022</v>
      </c>
      <c r="U175" s="43" t="s">
        <v>234</v>
      </c>
      <c r="V175" s="43">
        <v>12</v>
      </c>
      <c r="W175" s="40">
        <v>455562.78</v>
      </c>
      <c r="X175" s="44" t="s">
        <v>211</v>
      </c>
      <c r="Y175" s="45"/>
      <c r="Z175" s="45"/>
      <c r="AA175" s="45"/>
      <c r="AB175" s="45" t="s">
        <v>174</v>
      </c>
      <c r="AC175" s="51">
        <v>6</v>
      </c>
      <c r="AD175" s="45"/>
      <c r="AE175" s="45" t="str">
        <f t="shared" si="5"/>
        <v>Detrator</v>
      </c>
    </row>
    <row r="176" spans="1:31" x14ac:dyDescent="0.25">
      <c r="A176" s="5" t="s">
        <v>267</v>
      </c>
      <c r="B176" s="6">
        <v>10110</v>
      </c>
      <c r="C176" s="6">
        <v>2</v>
      </c>
      <c r="D176" s="6" t="s">
        <v>4</v>
      </c>
      <c r="E176" s="6">
        <v>21</v>
      </c>
      <c r="F176" s="6" t="s">
        <v>13</v>
      </c>
      <c r="G176" s="6">
        <v>211</v>
      </c>
      <c r="H176" s="12" t="s">
        <v>141</v>
      </c>
      <c r="I176" s="14" t="s">
        <v>89</v>
      </c>
      <c r="J176" s="13">
        <v>44533</v>
      </c>
      <c r="K176" s="27"/>
      <c r="L176" s="28">
        <v>1243.56</v>
      </c>
      <c r="M176" s="12" t="s">
        <v>224</v>
      </c>
      <c r="N176" s="29">
        <v>377.05</v>
      </c>
      <c r="O176" s="3">
        <v>0</v>
      </c>
      <c r="P176" s="12">
        <v>267</v>
      </c>
      <c r="Q176" s="12" t="s">
        <v>145</v>
      </c>
      <c r="R176" s="14" t="s">
        <v>255</v>
      </c>
      <c r="S176" s="30">
        <v>11055417000197</v>
      </c>
      <c r="T176" s="6">
        <v>2022</v>
      </c>
      <c r="U176" s="12" t="s">
        <v>234</v>
      </c>
      <c r="V176" s="12">
        <v>12</v>
      </c>
      <c r="W176" s="29">
        <v>92780.93</v>
      </c>
      <c r="X176" s="31" t="s">
        <v>222</v>
      </c>
      <c r="Y176" s="31" t="s">
        <v>174</v>
      </c>
      <c r="Z176" s="31" t="s">
        <v>215</v>
      </c>
      <c r="AA176" s="31" t="s">
        <v>175</v>
      </c>
      <c r="AB176" s="31" t="s">
        <v>175</v>
      </c>
      <c r="AC176" s="52">
        <v>6</v>
      </c>
      <c r="AD176" s="31" t="s">
        <v>177</v>
      </c>
      <c r="AE176" s="31" t="str">
        <f t="shared" si="5"/>
        <v>Detrator</v>
      </c>
    </row>
    <row r="177" spans="1:31" x14ac:dyDescent="0.25">
      <c r="A177" s="16" t="s">
        <v>267</v>
      </c>
      <c r="B177" s="17">
        <v>10110</v>
      </c>
      <c r="C177" s="17">
        <v>2</v>
      </c>
      <c r="D177" s="17" t="s">
        <v>4</v>
      </c>
      <c r="E177" s="17">
        <v>21</v>
      </c>
      <c r="F177" s="17" t="s">
        <v>13</v>
      </c>
      <c r="G177" s="17">
        <v>211</v>
      </c>
      <c r="H177" s="23" t="s">
        <v>141</v>
      </c>
      <c r="I177" s="38" t="s">
        <v>88</v>
      </c>
      <c r="J177" s="24">
        <v>42981</v>
      </c>
      <c r="K177" s="24"/>
      <c r="L177" s="39">
        <v>1243.3399999999999</v>
      </c>
      <c r="M177" s="23" t="s">
        <v>224</v>
      </c>
      <c r="N177" s="40">
        <v>377.05</v>
      </c>
      <c r="O177" s="41">
        <v>0</v>
      </c>
      <c r="P177" s="23" t="s">
        <v>2</v>
      </c>
      <c r="Q177" s="23" t="s">
        <v>145</v>
      </c>
      <c r="R177" s="38" t="s">
        <v>161</v>
      </c>
      <c r="S177" s="42">
        <v>11055417000197</v>
      </c>
      <c r="T177" s="17">
        <v>2022</v>
      </c>
      <c r="U177" s="43" t="s">
        <v>234</v>
      </c>
      <c r="V177" s="43">
        <v>12</v>
      </c>
      <c r="W177" s="40" t="s">
        <v>2</v>
      </c>
      <c r="X177" s="44"/>
      <c r="Y177" s="45"/>
      <c r="Z177" s="45"/>
      <c r="AA177" s="45"/>
      <c r="AB177" s="45" t="s">
        <v>174</v>
      </c>
      <c r="AC177" s="51">
        <v>8</v>
      </c>
      <c r="AD177" s="45"/>
      <c r="AE177" s="45" t="str">
        <f t="shared" si="5"/>
        <v>Neutro</v>
      </c>
    </row>
    <row r="178" spans="1:31" x14ac:dyDescent="0.25">
      <c r="A178" s="14" t="s">
        <v>267</v>
      </c>
      <c r="B178" s="12">
        <v>10110</v>
      </c>
      <c r="C178" s="12">
        <v>2</v>
      </c>
      <c r="D178" s="12" t="s">
        <v>4</v>
      </c>
      <c r="E178" s="12">
        <v>21</v>
      </c>
      <c r="F178" s="12" t="s">
        <v>13</v>
      </c>
      <c r="G178" s="12">
        <v>211</v>
      </c>
      <c r="H178" s="12" t="s">
        <v>141</v>
      </c>
      <c r="I178" s="7" t="s">
        <v>92</v>
      </c>
      <c r="J178" s="15">
        <v>42554</v>
      </c>
      <c r="K178" s="32"/>
      <c r="L178" s="28">
        <v>1466.73</v>
      </c>
      <c r="M178" s="12" t="s">
        <v>224</v>
      </c>
      <c r="N178" s="29">
        <v>414.76</v>
      </c>
      <c r="O178" s="3">
        <v>6.4924292297564579E-3</v>
      </c>
      <c r="P178" s="12" t="s">
        <v>2</v>
      </c>
      <c r="Q178" s="12"/>
      <c r="R178" s="14" t="s">
        <v>251</v>
      </c>
      <c r="S178" s="30">
        <v>11055417007178</v>
      </c>
      <c r="T178" s="12">
        <v>2023</v>
      </c>
      <c r="U178" s="12" t="s">
        <v>179</v>
      </c>
      <c r="V178" s="12">
        <v>1</v>
      </c>
      <c r="W178" s="29" t="s">
        <v>2</v>
      </c>
      <c r="X178" s="4"/>
      <c r="Y178" s="12"/>
      <c r="Z178" s="12"/>
      <c r="AA178" s="12"/>
      <c r="AB178" s="31" t="s">
        <v>174</v>
      </c>
      <c r="AC178" s="52">
        <v>9</v>
      </c>
      <c r="AD178" s="31" t="s">
        <v>177</v>
      </c>
      <c r="AE178" s="31" t="str">
        <f t="shared" si="5"/>
        <v>Promotor</v>
      </c>
    </row>
    <row r="179" spans="1:31" x14ac:dyDescent="0.25">
      <c r="A179" s="16" t="s">
        <v>267</v>
      </c>
      <c r="B179" s="17">
        <v>10110</v>
      </c>
      <c r="C179" s="17">
        <v>2</v>
      </c>
      <c r="D179" s="17" t="s">
        <v>4</v>
      </c>
      <c r="E179" s="17">
        <v>21</v>
      </c>
      <c r="F179" s="17" t="s">
        <v>13</v>
      </c>
      <c r="G179" s="17">
        <v>211</v>
      </c>
      <c r="H179" s="23" t="s">
        <v>153</v>
      </c>
      <c r="I179" s="38" t="s">
        <v>93</v>
      </c>
      <c r="J179" s="24">
        <v>44533</v>
      </c>
      <c r="K179" s="24"/>
      <c r="L179" s="39">
        <v>2014.58</v>
      </c>
      <c r="M179" s="23" t="s">
        <v>224</v>
      </c>
      <c r="N179" s="40">
        <v>414.76</v>
      </c>
      <c r="O179" s="41">
        <v>3.408986175115214E-2</v>
      </c>
      <c r="P179" s="23">
        <v>78</v>
      </c>
      <c r="Q179" s="23"/>
      <c r="R179" s="38" t="s">
        <v>161</v>
      </c>
      <c r="S179" s="42">
        <v>11055417000197</v>
      </c>
      <c r="T179" s="17">
        <v>2023</v>
      </c>
      <c r="U179" s="43" t="s">
        <v>179</v>
      </c>
      <c r="V179" s="43">
        <v>1</v>
      </c>
      <c r="W179" s="40">
        <v>28052.76</v>
      </c>
      <c r="X179" s="44" t="s">
        <v>222</v>
      </c>
      <c r="Y179" s="45"/>
      <c r="Z179" s="45"/>
      <c r="AA179" s="45"/>
      <c r="AB179" s="45" t="s">
        <v>174</v>
      </c>
      <c r="AC179" s="51">
        <v>7</v>
      </c>
      <c r="AD179" s="45"/>
      <c r="AE179" s="45" t="str">
        <f t="shared" si="5"/>
        <v>Neutro</v>
      </c>
    </row>
    <row r="180" spans="1:31" x14ac:dyDescent="0.25">
      <c r="A180" s="14" t="s">
        <v>267</v>
      </c>
      <c r="B180" s="12">
        <v>10110</v>
      </c>
      <c r="C180" s="12">
        <v>2</v>
      </c>
      <c r="D180" s="12" t="s">
        <v>4</v>
      </c>
      <c r="E180" s="12">
        <v>21</v>
      </c>
      <c r="F180" s="12" t="s">
        <v>13</v>
      </c>
      <c r="G180" s="12">
        <v>211</v>
      </c>
      <c r="H180" s="12" t="s">
        <v>141</v>
      </c>
      <c r="I180" s="7" t="s">
        <v>92</v>
      </c>
      <c r="J180" s="15">
        <v>42554</v>
      </c>
      <c r="K180" s="32"/>
      <c r="L180" s="28">
        <v>1466.73</v>
      </c>
      <c r="M180" s="12" t="s">
        <v>224</v>
      </c>
      <c r="N180" s="29">
        <v>414.76</v>
      </c>
      <c r="O180" s="3">
        <v>0</v>
      </c>
      <c r="P180" s="12">
        <v>357</v>
      </c>
      <c r="Q180" s="12" t="s">
        <v>145</v>
      </c>
      <c r="R180" s="14" t="s">
        <v>252</v>
      </c>
      <c r="S180" s="30">
        <v>11055417007203</v>
      </c>
      <c r="T180" s="12">
        <v>2023</v>
      </c>
      <c r="U180" s="12" t="s">
        <v>179</v>
      </c>
      <c r="V180" s="12">
        <v>1</v>
      </c>
      <c r="W180" s="29">
        <v>127594.81</v>
      </c>
      <c r="X180" s="4" t="s">
        <v>211</v>
      </c>
      <c r="Y180" s="12" t="s">
        <v>174</v>
      </c>
      <c r="Z180" s="12" t="s">
        <v>217</v>
      </c>
      <c r="AA180" s="31" t="s">
        <v>174</v>
      </c>
      <c r="AB180" s="12" t="s">
        <v>175</v>
      </c>
      <c r="AC180" s="52">
        <v>1</v>
      </c>
      <c r="AD180" s="31" t="s">
        <v>177</v>
      </c>
      <c r="AE180" s="31" t="str">
        <f t="shared" si="5"/>
        <v>Detrator</v>
      </c>
    </row>
    <row r="181" spans="1:31" x14ac:dyDescent="0.25">
      <c r="A181" s="16" t="s">
        <v>267</v>
      </c>
      <c r="B181" s="17">
        <v>10110</v>
      </c>
      <c r="C181" s="17">
        <v>2</v>
      </c>
      <c r="D181" s="17" t="s">
        <v>4</v>
      </c>
      <c r="E181" s="17">
        <v>21</v>
      </c>
      <c r="F181" s="17" t="s">
        <v>13</v>
      </c>
      <c r="G181" s="17">
        <v>211</v>
      </c>
      <c r="H181" s="23" t="s">
        <v>141</v>
      </c>
      <c r="I181" s="38" t="s">
        <v>93</v>
      </c>
      <c r="J181" s="24">
        <v>44533</v>
      </c>
      <c r="K181" s="24"/>
      <c r="L181" s="39">
        <v>2014.58</v>
      </c>
      <c r="M181" s="23" t="s">
        <v>225</v>
      </c>
      <c r="N181" s="40">
        <v>924.58</v>
      </c>
      <c r="O181" s="41">
        <v>3.4059743660419528E-3</v>
      </c>
      <c r="P181" s="23">
        <v>337</v>
      </c>
      <c r="Q181" s="23"/>
      <c r="R181" s="38" t="s">
        <v>253</v>
      </c>
      <c r="S181" s="42">
        <v>11055417007191</v>
      </c>
      <c r="T181" s="17">
        <v>2023</v>
      </c>
      <c r="U181" s="43" t="s">
        <v>179</v>
      </c>
      <c r="V181" s="43">
        <v>1</v>
      </c>
      <c r="W181" s="40">
        <v>268966.96000000002</v>
      </c>
      <c r="X181" s="44" t="s">
        <v>211</v>
      </c>
      <c r="Y181" s="45"/>
      <c r="Z181" s="45"/>
      <c r="AA181" s="45"/>
      <c r="AB181" s="45" t="s">
        <v>174</v>
      </c>
      <c r="AC181" s="51">
        <v>8</v>
      </c>
      <c r="AD181" s="45" t="s">
        <v>177</v>
      </c>
      <c r="AE181" s="45" t="str">
        <f t="shared" si="5"/>
        <v>Neutro</v>
      </c>
    </row>
    <row r="182" spans="1:31" x14ac:dyDescent="0.25">
      <c r="A182" s="14" t="s">
        <v>267</v>
      </c>
      <c r="B182" s="12">
        <v>10110</v>
      </c>
      <c r="C182" s="12">
        <v>2</v>
      </c>
      <c r="D182" s="12" t="s">
        <v>4</v>
      </c>
      <c r="E182" s="12">
        <v>21</v>
      </c>
      <c r="F182" s="12" t="s">
        <v>13</v>
      </c>
      <c r="G182" s="12">
        <v>211</v>
      </c>
      <c r="H182" s="12" t="s">
        <v>141</v>
      </c>
      <c r="I182" s="7" t="s">
        <v>88</v>
      </c>
      <c r="J182" s="15">
        <v>42981</v>
      </c>
      <c r="K182" s="32"/>
      <c r="L182" s="28">
        <v>1243.3399999999999</v>
      </c>
      <c r="M182" s="12" t="s">
        <v>225</v>
      </c>
      <c r="N182" s="29">
        <v>924.58</v>
      </c>
      <c r="O182" s="3">
        <v>0</v>
      </c>
      <c r="P182" s="12">
        <v>316</v>
      </c>
      <c r="Q182" s="12" t="s">
        <v>145</v>
      </c>
      <c r="R182" s="14" t="s">
        <v>160</v>
      </c>
      <c r="S182" s="30">
        <v>11055417000178</v>
      </c>
      <c r="T182" s="12">
        <v>2023</v>
      </c>
      <c r="U182" s="12" t="s">
        <v>179</v>
      </c>
      <c r="V182" s="12">
        <v>1</v>
      </c>
      <c r="W182" s="29">
        <v>252828.94</v>
      </c>
      <c r="X182" s="4" t="s">
        <v>211</v>
      </c>
      <c r="Y182" s="12"/>
      <c r="Z182" s="12"/>
      <c r="AA182" s="12"/>
      <c r="AB182" s="31" t="s">
        <v>174</v>
      </c>
      <c r="AC182" s="52">
        <v>7</v>
      </c>
      <c r="AD182" s="31"/>
      <c r="AE182" s="31" t="str">
        <f t="shared" si="5"/>
        <v>Neutro</v>
      </c>
    </row>
    <row r="183" spans="1:31" x14ac:dyDescent="0.25">
      <c r="A183" s="16" t="s">
        <v>267</v>
      </c>
      <c r="B183" s="17">
        <v>10110</v>
      </c>
      <c r="C183" s="17">
        <v>2</v>
      </c>
      <c r="D183" s="17" t="s">
        <v>4</v>
      </c>
      <c r="E183" s="17">
        <v>21</v>
      </c>
      <c r="F183" s="17" t="s">
        <v>13</v>
      </c>
      <c r="G183" s="17">
        <v>211</v>
      </c>
      <c r="H183" s="23" t="s">
        <v>141</v>
      </c>
      <c r="I183" s="38" t="s">
        <v>89</v>
      </c>
      <c r="J183" s="24">
        <v>44533</v>
      </c>
      <c r="K183" s="24"/>
      <c r="L183" s="39">
        <v>1243.56</v>
      </c>
      <c r="M183" s="23" t="s">
        <v>224</v>
      </c>
      <c r="N183" s="40">
        <v>414.76</v>
      </c>
      <c r="O183" s="41">
        <v>0</v>
      </c>
      <c r="P183" s="23">
        <v>140</v>
      </c>
      <c r="Q183" s="23" t="s">
        <v>145</v>
      </c>
      <c r="R183" s="38" t="s">
        <v>161</v>
      </c>
      <c r="S183" s="42">
        <v>11055417000197</v>
      </c>
      <c r="T183" s="17">
        <v>2023</v>
      </c>
      <c r="U183" s="43" t="s">
        <v>179</v>
      </c>
      <c r="V183" s="43">
        <v>1</v>
      </c>
      <c r="W183" s="40">
        <v>50093.33</v>
      </c>
      <c r="X183" s="44" t="s">
        <v>211</v>
      </c>
      <c r="Y183" s="45" t="s">
        <v>174</v>
      </c>
      <c r="Z183" s="45" t="s">
        <v>217</v>
      </c>
      <c r="AA183" s="45" t="s">
        <v>175</v>
      </c>
      <c r="AB183" s="45" t="s">
        <v>175</v>
      </c>
      <c r="AC183" s="51">
        <v>1</v>
      </c>
      <c r="AD183" s="45"/>
      <c r="AE183" s="45" t="str">
        <f t="shared" si="5"/>
        <v>Detrator</v>
      </c>
    </row>
    <row r="184" spans="1:31" x14ac:dyDescent="0.25">
      <c r="A184" s="14" t="s">
        <v>267</v>
      </c>
      <c r="B184" s="12">
        <v>10110</v>
      </c>
      <c r="C184" s="12">
        <v>2</v>
      </c>
      <c r="D184" s="12" t="s">
        <v>4</v>
      </c>
      <c r="E184" s="12">
        <v>21</v>
      </c>
      <c r="F184" s="12" t="s">
        <v>13</v>
      </c>
      <c r="G184" s="12">
        <v>211</v>
      </c>
      <c r="H184" s="12" t="s">
        <v>141</v>
      </c>
      <c r="I184" s="7" t="s">
        <v>88</v>
      </c>
      <c r="J184" s="15">
        <v>42981</v>
      </c>
      <c r="K184" s="32"/>
      <c r="L184" s="28">
        <v>1243.3399999999999</v>
      </c>
      <c r="M184" s="12" t="s">
        <v>224</v>
      </c>
      <c r="N184" s="29">
        <v>414.76</v>
      </c>
      <c r="O184" s="3">
        <v>0</v>
      </c>
      <c r="P184" s="12" t="s">
        <v>2</v>
      </c>
      <c r="Q184" s="12" t="s">
        <v>145</v>
      </c>
      <c r="R184" s="14" t="s">
        <v>161</v>
      </c>
      <c r="S184" s="30">
        <v>11055417000197</v>
      </c>
      <c r="T184" s="12">
        <v>2023</v>
      </c>
      <c r="U184" s="12" t="s">
        <v>179</v>
      </c>
      <c r="V184" s="12">
        <v>1</v>
      </c>
      <c r="W184" s="29" t="s">
        <v>2</v>
      </c>
      <c r="X184" s="4"/>
      <c r="Y184" s="12"/>
      <c r="Z184" s="12"/>
      <c r="AA184" s="12"/>
      <c r="AB184" s="31" t="s">
        <v>174</v>
      </c>
      <c r="AC184" s="52">
        <v>7</v>
      </c>
      <c r="AD184" s="31"/>
      <c r="AE184" s="31" t="str">
        <f t="shared" si="5"/>
        <v>Neutro</v>
      </c>
    </row>
    <row r="185" spans="1:31" x14ac:dyDescent="0.25">
      <c r="A185" s="16" t="s">
        <v>267</v>
      </c>
      <c r="B185" s="17">
        <v>10110</v>
      </c>
      <c r="C185" s="17">
        <v>2</v>
      </c>
      <c r="D185" s="17" t="s">
        <v>4</v>
      </c>
      <c r="E185" s="17">
        <v>21</v>
      </c>
      <c r="F185" s="17" t="s">
        <v>13</v>
      </c>
      <c r="G185" s="17">
        <v>211</v>
      </c>
      <c r="H185" s="23" t="s">
        <v>141</v>
      </c>
      <c r="I185" s="38" t="s">
        <v>92</v>
      </c>
      <c r="J185" s="24">
        <v>42554</v>
      </c>
      <c r="K185" s="24"/>
      <c r="L185" s="39">
        <v>1466.73</v>
      </c>
      <c r="M185" s="23" t="s">
        <v>224</v>
      </c>
      <c r="N185" s="40">
        <v>414.76</v>
      </c>
      <c r="O185" s="41">
        <v>6.4924292297564579E-3</v>
      </c>
      <c r="P185" s="23" t="s">
        <v>2</v>
      </c>
      <c r="Q185" s="23"/>
      <c r="R185" s="38" t="s">
        <v>254</v>
      </c>
      <c r="S185" s="42">
        <v>11055417003178</v>
      </c>
      <c r="T185" s="17">
        <v>2023</v>
      </c>
      <c r="U185" s="43" t="s">
        <v>180</v>
      </c>
      <c r="V185" s="43">
        <v>2</v>
      </c>
      <c r="W185" s="40" t="s">
        <v>2</v>
      </c>
      <c r="X185" s="44"/>
      <c r="Y185" s="45"/>
      <c r="Z185" s="45"/>
      <c r="AA185" s="45"/>
      <c r="AB185" s="45" t="s">
        <v>174</v>
      </c>
      <c r="AC185" s="51">
        <v>8</v>
      </c>
      <c r="AD185" s="45" t="s">
        <v>177</v>
      </c>
      <c r="AE185" s="45" t="str">
        <f t="shared" si="5"/>
        <v>Neutro</v>
      </c>
    </row>
    <row r="186" spans="1:31" x14ac:dyDescent="0.25">
      <c r="A186" s="5" t="s">
        <v>267</v>
      </c>
      <c r="B186" s="6">
        <v>10110</v>
      </c>
      <c r="C186" s="6">
        <v>2</v>
      </c>
      <c r="D186" s="6" t="s">
        <v>4</v>
      </c>
      <c r="E186" s="6">
        <v>21</v>
      </c>
      <c r="F186" s="6" t="s">
        <v>13</v>
      </c>
      <c r="G186" s="6">
        <v>211</v>
      </c>
      <c r="H186" s="12" t="s">
        <v>153</v>
      </c>
      <c r="I186" s="14" t="s">
        <v>93</v>
      </c>
      <c r="J186" s="13">
        <v>44533</v>
      </c>
      <c r="K186" s="27"/>
      <c r="L186" s="28">
        <v>2014.58</v>
      </c>
      <c r="M186" s="12" t="s">
        <v>224</v>
      </c>
      <c r="N186" s="29">
        <v>414.76</v>
      </c>
      <c r="O186" s="3">
        <v>3.408986175115214E-2</v>
      </c>
      <c r="P186" s="12">
        <v>85</v>
      </c>
      <c r="Q186" s="12"/>
      <c r="R186" s="14" t="s">
        <v>161</v>
      </c>
      <c r="S186" s="30">
        <v>11055417000197</v>
      </c>
      <c r="T186" s="6">
        <v>2023</v>
      </c>
      <c r="U186" s="12" t="s">
        <v>180</v>
      </c>
      <c r="V186" s="12">
        <v>2</v>
      </c>
      <c r="W186" s="29">
        <v>30164.26</v>
      </c>
      <c r="X186" s="4" t="s">
        <v>211</v>
      </c>
      <c r="Y186" s="31"/>
      <c r="Z186" s="31"/>
      <c r="AA186" s="31"/>
      <c r="AB186" s="31" t="s">
        <v>174</v>
      </c>
      <c r="AC186" s="52">
        <v>8</v>
      </c>
      <c r="AD186" s="31"/>
      <c r="AE186" s="31" t="str">
        <f t="shared" si="5"/>
        <v>Neutro</v>
      </c>
    </row>
    <row r="187" spans="1:31" x14ac:dyDescent="0.25">
      <c r="A187" s="16" t="s">
        <v>267</v>
      </c>
      <c r="B187" s="17">
        <v>10110</v>
      </c>
      <c r="C187" s="17">
        <v>2</v>
      </c>
      <c r="D187" s="17" t="s">
        <v>4</v>
      </c>
      <c r="E187" s="17">
        <v>21</v>
      </c>
      <c r="F187" s="17" t="s">
        <v>13</v>
      </c>
      <c r="G187" s="17">
        <v>211</v>
      </c>
      <c r="H187" s="23" t="s">
        <v>141</v>
      </c>
      <c r="I187" s="38" t="s">
        <v>92</v>
      </c>
      <c r="J187" s="24">
        <v>42554</v>
      </c>
      <c r="K187" s="24"/>
      <c r="L187" s="39">
        <v>1466.73</v>
      </c>
      <c r="M187" s="23" t="s">
        <v>224</v>
      </c>
      <c r="N187" s="40">
        <v>414.76</v>
      </c>
      <c r="O187" s="41">
        <v>0</v>
      </c>
      <c r="P187" s="23">
        <v>101</v>
      </c>
      <c r="Q187" s="23" t="s">
        <v>145</v>
      </c>
      <c r="R187" s="38" t="s">
        <v>158</v>
      </c>
      <c r="S187" s="42">
        <v>11055417000203</v>
      </c>
      <c r="T187" s="17">
        <v>2023</v>
      </c>
      <c r="U187" s="43" t="s">
        <v>180</v>
      </c>
      <c r="V187" s="43">
        <v>2</v>
      </c>
      <c r="W187" s="40">
        <v>36197.11</v>
      </c>
      <c r="X187" s="44" t="s">
        <v>211</v>
      </c>
      <c r="Y187" s="45" t="s">
        <v>174</v>
      </c>
      <c r="Z187" s="45" t="s">
        <v>215</v>
      </c>
      <c r="AA187" s="45" t="s">
        <v>174</v>
      </c>
      <c r="AB187" s="45" t="s">
        <v>175</v>
      </c>
      <c r="AC187" s="51">
        <v>6</v>
      </c>
      <c r="AD187" s="45"/>
      <c r="AE187" s="45" t="str">
        <f t="shared" si="5"/>
        <v>Detrator</v>
      </c>
    </row>
    <row r="188" spans="1:31" x14ac:dyDescent="0.25">
      <c r="A188" s="5" t="s">
        <v>267</v>
      </c>
      <c r="B188" s="6">
        <v>10110</v>
      </c>
      <c r="C188" s="6">
        <v>2</v>
      </c>
      <c r="D188" s="6" t="s">
        <v>4</v>
      </c>
      <c r="E188" s="6">
        <v>21</v>
      </c>
      <c r="F188" s="6" t="s">
        <v>13</v>
      </c>
      <c r="G188" s="6">
        <v>211</v>
      </c>
      <c r="H188" s="12" t="s">
        <v>141</v>
      </c>
      <c r="I188" s="14" t="s">
        <v>93</v>
      </c>
      <c r="J188" s="13">
        <v>44533</v>
      </c>
      <c r="K188" s="27"/>
      <c r="L188" s="28">
        <v>2014.58</v>
      </c>
      <c r="M188" s="12" t="s">
        <v>225</v>
      </c>
      <c r="N188" s="29">
        <v>924.58</v>
      </c>
      <c r="O188" s="3">
        <v>3.4059743660419528E-3</v>
      </c>
      <c r="P188" s="12">
        <v>378</v>
      </c>
      <c r="Q188" s="12"/>
      <c r="R188" s="14" t="s">
        <v>159</v>
      </c>
      <c r="S188" s="30">
        <v>11055417000191</v>
      </c>
      <c r="T188" s="6">
        <v>2023</v>
      </c>
      <c r="U188" s="12" t="s">
        <v>180</v>
      </c>
      <c r="V188" s="12">
        <v>2</v>
      </c>
      <c r="W188" s="29">
        <v>302587.83</v>
      </c>
      <c r="X188" s="4" t="s">
        <v>211</v>
      </c>
      <c r="Y188" s="31"/>
      <c r="Z188" s="31"/>
      <c r="AA188" s="31"/>
      <c r="AB188" s="31" t="s">
        <v>174</v>
      </c>
      <c r="AC188" s="52">
        <v>10</v>
      </c>
      <c r="AD188" s="31"/>
      <c r="AE188" s="31" t="str">
        <f t="shared" si="5"/>
        <v>Promotor</v>
      </c>
    </row>
    <row r="189" spans="1:31" x14ac:dyDescent="0.25">
      <c r="A189" s="16" t="s">
        <v>267</v>
      </c>
      <c r="B189" s="17">
        <v>10110</v>
      </c>
      <c r="C189" s="17">
        <v>2</v>
      </c>
      <c r="D189" s="17" t="s">
        <v>4</v>
      </c>
      <c r="E189" s="17">
        <v>21</v>
      </c>
      <c r="F189" s="17" t="s">
        <v>13</v>
      </c>
      <c r="G189" s="17">
        <v>211</v>
      </c>
      <c r="H189" s="23" t="s">
        <v>141</v>
      </c>
      <c r="I189" s="38" t="s">
        <v>88</v>
      </c>
      <c r="J189" s="24">
        <v>42981</v>
      </c>
      <c r="K189" s="24"/>
      <c r="L189" s="39">
        <v>1243.3399999999999</v>
      </c>
      <c r="M189" s="23" t="s">
        <v>225</v>
      </c>
      <c r="N189" s="40">
        <v>924.58</v>
      </c>
      <c r="O189" s="41">
        <v>0</v>
      </c>
      <c r="P189" s="23">
        <v>457</v>
      </c>
      <c r="Q189" s="23" t="s">
        <v>145</v>
      </c>
      <c r="R189" s="38" t="s">
        <v>160</v>
      </c>
      <c r="S189" s="42">
        <v>11055417000178</v>
      </c>
      <c r="T189" s="17">
        <v>2023</v>
      </c>
      <c r="U189" s="43" t="s">
        <v>180</v>
      </c>
      <c r="V189" s="43">
        <v>2</v>
      </c>
      <c r="W189" s="40">
        <v>364450.23</v>
      </c>
      <c r="X189" s="44" t="s">
        <v>211</v>
      </c>
      <c r="Y189" s="45"/>
      <c r="Z189" s="45"/>
      <c r="AA189" s="45"/>
      <c r="AB189" s="45" t="s">
        <v>174</v>
      </c>
      <c r="AC189" s="51">
        <v>7</v>
      </c>
      <c r="AD189" s="45"/>
      <c r="AE189" s="45" t="str">
        <f t="shared" si="5"/>
        <v>Neutro</v>
      </c>
    </row>
    <row r="190" spans="1:31" x14ac:dyDescent="0.25">
      <c r="A190" s="5" t="s">
        <v>267</v>
      </c>
      <c r="B190" s="6">
        <v>10110</v>
      </c>
      <c r="C190" s="6">
        <v>2</v>
      </c>
      <c r="D190" s="6" t="s">
        <v>4</v>
      </c>
      <c r="E190" s="6">
        <v>21</v>
      </c>
      <c r="F190" s="6" t="s">
        <v>13</v>
      </c>
      <c r="G190" s="6">
        <v>211</v>
      </c>
      <c r="H190" s="12" t="s">
        <v>141</v>
      </c>
      <c r="I190" s="14" t="s">
        <v>89</v>
      </c>
      <c r="J190" s="13">
        <v>44533</v>
      </c>
      <c r="K190" s="27"/>
      <c r="L190" s="28">
        <v>1243.56</v>
      </c>
      <c r="M190" s="12" t="s">
        <v>224</v>
      </c>
      <c r="N190" s="29">
        <v>414.76</v>
      </c>
      <c r="O190" s="3">
        <v>0</v>
      </c>
      <c r="P190" s="12">
        <v>207</v>
      </c>
      <c r="Q190" s="12" t="s">
        <v>145</v>
      </c>
      <c r="R190" s="14" t="s">
        <v>255</v>
      </c>
      <c r="S190" s="30">
        <v>11055417000197</v>
      </c>
      <c r="T190" s="6">
        <v>2023</v>
      </c>
      <c r="U190" s="12" t="s">
        <v>180</v>
      </c>
      <c r="V190" s="12">
        <v>2</v>
      </c>
      <c r="W190" s="29">
        <v>74224.740000000005</v>
      </c>
      <c r="X190" s="31" t="s">
        <v>222</v>
      </c>
      <c r="Y190" s="31" t="s">
        <v>174</v>
      </c>
      <c r="Z190" s="31" t="s">
        <v>215</v>
      </c>
      <c r="AA190" s="31" t="s">
        <v>175</v>
      </c>
      <c r="AB190" s="31" t="s">
        <v>175</v>
      </c>
      <c r="AC190" s="52">
        <v>5</v>
      </c>
      <c r="AD190" s="31" t="s">
        <v>177</v>
      </c>
      <c r="AE190" s="31" t="str">
        <f t="shared" si="5"/>
        <v>Detrator</v>
      </c>
    </row>
    <row r="191" spans="1:31" x14ac:dyDescent="0.25">
      <c r="A191" s="16" t="s">
        <v>267</v>
      </c>
      <c r="B191" s="17">
        <v>10110</v>
      </c>
      <c r="C191" s="17">
        <v>2</v>
      </c>
      <c r="D191" s="17" t="s">
        <v>4</v>
      </c>
      <c r="E191" s="17">
        <v>21</v>
      </c>
      <c r="F191" s="17" t="s">
        <v>13</v>
      </c>
      <c r="G191" s="17">
        <v>211</v>
      </c>
      <c r="H191" s="23" t="s">
        <v>141</v>
      </c>
      <c r="I191" s="38" t="s">
        <v>88</v>
      </c>
      <c r="J191" s="24">
        <v>42981</v>
      </c>
      <c r="K191" s="24"/>
      <c r="L191" s="39">
        <v>1243.3399999999999</v>
      </c>
      <c r="M191" s="23" t="s">
        <v>224</v>
      </c>
      <c r="N191" s="40">
        <v>414.76</v>
      </c>
      <c r="O191" s="41">
        <v>0</v>
      </c>
      <c r="P191" s="23" t="s">
        <v>2</v>
      </c>
      <c r="Q191" s="23" t="s">
        <v>145</v>
      </c>
      <c r="R191" s="38" t="s">
        <v>161</v>
      </c>
      <c r="S191" s="42">
        <v>11055417000197</v>
      </c>
      <c r="T191" s="17">
        <v>2023</v>
      </c>
      <c r="U191" s="43" t="s">
        <v>180</v>
      </c>
      <c r="V191" s="43">
        <v>2</v>
      </c>
      <c r="W191" s="40" t="s">
        <v>2</v>
      </c>
      <c r="X191" s="44"/>
      <c r="Y191" s="45"/>
      <c r="Z191" s="45"/>
      <c r="AA191" s="45"/>
      <c r="AB191" s="45" t="s">
        <v>174</v>
      </c>
      <c r="AC191" s="51">
        <v>3</v>
      </c>
      <c r="AD191" s="45"/>
      <c r="AE191" s="45" t="str">
        <f t="shared" si="5"/>
        <v>Detrator</v>
      </c>
    </row>
    <row r="192" spans="1:31" x14ac:dyDescent="0.25">
      <c r="A192" s="16" t="s">
        <v>268</v>
      </c>
      <c r="B192" s="17">
        <v>10112</v>
      </c>
      <c r="C192" s="17">
        <v>2</v>
      </c>
      <c r="D192" s="17" t="s">
        <v>4</v>
      </c>
      <c r="E192" s="17">
        <v>21</v>
      </c>
      <c r="F192" s="17" t="s">
        <v>13</v>
      </c>
      <c r="G192" s="17">
        <v>211</v>
      </c>
      <c r="H192" s="23" t="s">
        <v>141</v>
      </c>
      <c r="I192" s="38" t="s">
        <v>52</v>
      </c>
      <c r="J192" s="24">
        <v>42258</v>
      </c>
      <c r="K192" s="20"/>
      <c r="L192" s="39">
        <v>1903.93</v>
      </c>
      <c r="M192" s="23" t="s">
        <v>224</v>
      </c>
      <c r="N192" s="40">
        <v>390.44</v>
      </c>
      <c r="O192" s="41">
        <f t="shared" ref="O192:O201" si="7">IF(IFERROR((1-W192/(N192*P192)),0)&lt;0,0,IFERROR((1-W192/(N192*P192)),0))</f>
        <v>0</v>
      </c>
      <c r="P192" s="23" t="s">
        <v>2</v>
      </c>
      <c r="Q192" s="23" t="s">
        <v>145</v>
      </c>
      <c r="R192" s="38" t="s">
        <v>148</v>
      </c>
      <c r="S192" s="42">
        <v>11055417000192</v>
      </c>
      <c r="T192" s="17">
        <v>2022</v>
      </c>
      <c r="U192" s="23" t="s">
        <v>179</v>
      </c>
      <c r="V192" s="23">
        <v>1</v>
      </c>
      <c r="W192" s="40" t="s">
        <v>2</v>
      </c>
      <c r="X192" s="44"/>
      <c r="Y192" s="45" t="s">
        <v>174</v>
      </c>
      <c r="Z192" s="45" t="s">
        <v>216</v>
      </c>
      <c r="AA192" s="45" t="s">
        <v>174</v>
      </c>
      <c r="AB192" s="45" t="s">
        <v>2</v>
      </c>
      <c r="AC192" s="51" t="s">
        <v>2</v>
      </c>
      <c r="AD192" s="45" t="s">
        <v>177</v>
      </c>
      <c r="AE192" s="45" t="str">
        <f t="shared" si="5"/>
        <v>-</v>
      </c>
    </row>
    <row r="193" spans="1:31" x14ac:dyDescent="0.25">
      <c r="A193" s="5" t="s">
        <v>268</v>
      </c>
      <c r="B193" s="6">
        <v>10112</v>
      </c>
      <c r="C193" s="6">
        <v>2</v>
      </c>
      <c r="D193" s="6" t="s">
        <v>4</v>
      </c>
      <c r="E193" s="6">
        <v>21</v>
      </c>
      <c r="F193" s="6" t="s">
        <v>13</v>
      </c>
      <c r="G193" s="6">
        <v>211</v>
      </c>
      <c r="H193" s="12" t="s">
        <v>141</v>
      </c>
      <c r="I193" s="14" t="s">
        <v>42</v>
      </c>
      <c r="J193" s="13">
        <v>38171</v>
      </c>
      <c r="K193" s="14"/>
      <c r="L193" s="28">
        <v>1669.2</v>
      </c>
      <c r="M193" s="12" t="s">
        <v>224</v>
      </c>
      <c r="N193" s="29">
        <v>390.44</v>
      </c>
      <c r="O193" s="3">
        <f t="shared" si="7"/>
        <v>0.16697255141212997</v>
      </c>
      <c r="P193" s="12">
        <v>713</v>
      </c>
      <c r="Q193" s="12" t="s">
        <v>144</v>
      </c>
      <c r="R193" s="14" t="s">
        <v>149</v>
      </c>
      <c r="S193" s="30">
        <v>11055417000181</v>
      </c>
      <c r="T193" s="6">
        <v>2022</v>
      </c>
      <c r="U193" s="26" t="s">
        <v>179</v>
      </c>
      <c r="V193" s="26">
        <v>1</v>
      </c>
      <c r="W193" s="29">
        <v>231901.28</v>
      </c>
      <c r="X193" s="4" t="s">
        <v>211</v>
      </c>
      <c r="Y193" s="31"/>
      <c r="Z193" s="31"/>
      <c r="AA193" s="31"/>
      <c r="AB193" s="31" t="s">
        <v>174</v>
      </c>
      <c r="AC193" s="52">
        <v>4</v>
      </c>
      <c r="AD193" s="31" t="s">
        <v>177</v>
      </c>
      <c r="AE193" s="31" t="str">
        <f t="shared" si="5"/>
        <v>Detrator</v>
      </c>
    </row>
    <row r="194" spans="1:31" x14ac:dyDescent="0.25">
      <c r="A194" s="14" t="s">
        <v>268</v>
      </c>
      <c r="B194" s="12">
        <v>10112</v>
      </c>
      <c r="C194" s="12">
        <v>2</v>
      </c>
      <c r="D194" s="12" t="s">
        <v>4</v>
      </c>
      <c r="E194" s="12">
        <v>21</v>
      </c>
      <c r="F194" s="12" t="s">
        <v>13</v>
      </c>
      <c r="G194" s="12">
        <v>211</v>
      </c>
      <c r="H194" s="12" t="s">
        <v>153</v>
      </c>
      <c r="I194" s="61" t="s">
        <v>43</v>
      </c>
      <c r="J194" s="13">
        <v>38901</v>
      </c>
      <c r="K194" s="27"/>
      <c r="L194" s="28">
        <v>1634.8</v>
      </c>
      <c r="M194" s="12" t="s">
        <v>225</v>
      </c>
      <c r="N194" s="29">
        <v>870.35</v>
      </c>
      <c r="O194" s="3">
        <f t="shared" si="7"/>
        <v>0</v>
      </c>
      <c r="P194" s="12" t="s">
        <v>2</v>
      </c>
      <c r="Q194" s="12" t="s">
        <v>145</v>
      </c>
      <c r="R194" s="14" t="s">
        <v>150</v>
      </c>
      <c r="S194" s="30">
        <v>11055417000200</v>
      </c>
      <c r="T194" s="12">
        <v>2022</v>
      </c>
      <c r="U194" s="26" t="s">
        <v>180</v>
      </c>
      <c r="V194" s="26">
        <v>2</v>
      </c>
      <c r="W194" s="29" t="s">
        <v>2</v>
      </c>
      <c r="X194" s="4"/>
      <c r="Y194" s="12"/>
      <c r="Z194" s="12"/>
      <c r="AA194" s="12"/>
      <c r="AB194" s="12" t="s">
        <v>2</v>
      </c>
      <c r="AC194" s="52" t="s">
        <v>2</v>
      </c>
      <c r="AD194" s="31"/>
      <c r="AE194" s="31" t="str">
        <f t="shared" ref="AE194:AE243" si="8">IF(AC194&lt;&gt;"-",IF(AC194&lt;=6,"Detrator",IF(AC194&gt;=9,"Promotor","Neutro")),"-")</f>
        <v>-</v>
      </c>
    </row>
    <row r="195" spans="1:31" x14ac:dyDescent="0.25">
      <c r="A195" s="16" t="s">
        <v>268</v>
      </c>
      <c r="B195" s="17">
        <v>10112</v>
      </c>
      <c r="C195" s="17">
        <v>2</v>
      </c>
      <c r="D195" s="17" t="s">
        <v>4</v>
      </c>
      <c r="E195" s="17">
        <v>21</v>
      </c>
      <c r="F195" s="17" t="s">
        <v>13</v>
      </c>
      <c r="G195" s="17">
        <v>211</v>
      </c>
      <c r="H195" s="23" t="s">
        <v>141</v>
      </c>
      <c r="I195" s="38" t="s">
        <v>62</v>
      </c>
      <c r="J195" s="24">
        <v>41641</v>
      </c>
      <c r="K195" s="24"/>
      <c r="L195" s="39">
        <v>1287.7</v>
      </c>
      <c r="M195" s="23" t="s">
        <v>226</v>
      </c>
      <c r="N195" s="40">
        <v>780.08</v>
      </c>
      <c r="O195" s="41">
        <f t="shared" si="7"/>
        <v>0.21296032938929343</v>
      </c>
      <c r="P195" s="23">
        <v>128</v>
      </c>
      <c r="Q195" s="23" t="s">
        <v>144</v>
      </c>
      <c r="R195" s="38" t="s">
        <v>151</v>
      </c>
      <c r="S195" s="42">
        <v>11055417000189</v>
      </c>
      <c r="T195" s="17">
        <v>2022</v>
      </c>
      <c r="U195" s="43" t="s">
        <v>180</v>
      </c>
      <c r="V195" s="43">
        <v>2</v>
      </c>
      <c r="W195" s="40">
        <v>78586.100000000006</v>
      </c>
      <c r="X195" s="44" t="s">
        <v>211</v>
      </c>
      <c r="Y195" s="45"/>
      <c r="Z195" s="45"/>
      <c r="AA195" s="45"/>
      <c r="AB195" s="45" t="s">
        <v>174</v>
      </c>
      <c r="AC195" s="51">
        <v>10</v>
      </c>
      <c r="AD195" s="45" t="s">
        <v>177</v>
      </c>
      <c r="AE195" s="45" t="str">
        <f t="shared" si="8"/>
        <v>Promotor</v>
      </c>
    </row>
    <row r="196" spans="1:31" x14ac:dyDescent="0.25">
      <c r="A196" s="14" t="s">
        <v>268</v>
      </c>
      <c r="B196" s="12">
        <v>10112</v>
      </c>
      <c r="C196" s="12">
        <v>2</v>
      </c>
      <c r="D196" s="12" t="s">
        <v>4</v>
      </c>
      <c r="E196" s="12">
        <v>21</v>
      </c>
      <c r="F196" s="12" t="s">
        <v>13</v>
      </c>
      <c r="G196" s="12">
        <v>211</v>
      </c>
      <c r="H196" s="12" t="s">
        <v>153</v>
      </c>
      <c r="I196" s="14" t="s">
        <v>53</v>
      </c>
      <c r="J196" s="13">
        <v>40697</v>
      </c>
      <c r="K196" s="27"/>
      <c r="L196" s="28">
        <v>1403.23</v>
      </c>
      <c r="M196" s="12" t="s">
        <v>224</v>
      </c>
      <c r="N196" s="29">
        <v>390.44</v>
      </c>
      <c r="O196" s="3">
        <f t="shared" si="7"/>
        <v>0.16713486817701695</v>
      </c>
      <c r="P196" s="12">
        <v>725</v>
      </c>
      <c r="Q196" s="12" t="s">
        <v>144</v>
      </c>
      <c r="R196" s="14" t="s">
        <v>146</v>
      </c>
      <c r="S196" s="30">
        <v>11055417000196</v>
      </c>
      <c r="T196" s="12">
        <v>2022</v>
      </c>
      <c r="U196" s="26" t="s">
        <v>180</v>
      </c>
      <c r="V196" s="26">
        <v>2</v>
      </c>
      <c r="W196" s="29">
        <v>235758.3</v>
      </c>
      <c r="X196" s="4" t="s">
        <v>211</v>
      </c>
      <c r="Y196" s="12" t="s">
        <v>174</v>
      </c>
      <c r="Z196" s="12" t="s">
        <v>216</v>
      </c>
      <c r="AA196" s="31" t="s">
        <v>174</v>
      </c>
      <c r="AB196" s="12" t="s">
        <v>175</v>
      </c>
      <c r="AC196" s="52">
        <v>4</v>
      </c>
      <c r="AD196" s="31"/>
      <c r="AE196" s="31" t="str">
        <f t="shared" si="8"/>
        <v>Detrator</v>
      </c>
    </row>
    <row r="197" spans="1:31" x14ac:dyDescent="0.25">
      <c r="A197" s="16" t="s">
        <v>268</v>
      </c>
      <c r="B197" s="17">
        <v>10112</v>
      </c>
      <c r="C197" s="17">
        <v>2</v>
      </c>
      <c r="D197" s="17" t="s">
        <v>4</v>
      </c>
      <c r="E197" s="17">
        <v>21</v>
      </c>
      <c r="F197" s="17" t="s">
        <v>13</v>
      </c>
      <c r="G197" s="17">
        <v>211</v>
      </c>
      <c r="H197" s="23" t="s">
        <v>141</v>
      </c>
      <c r="I197" s="38" t="s">
        <v>42</v>
      </c>
      <c r="J197" s="24">
        <v>38171</v>
      </c>
      <c r="K197" s="24">
        <v>44602</v>
      </c>
      <c r="L197" s="39">
        <v>1634.8</v>
      </c>
      <c r="M197" s="23" t="s">
        <v>224</v>
      </c>
      <c r="N197" s="40">
        <v>390.44</v>
      </c>
      <c r="O197" s="41">
        <f t="shared" si="7"/>
        <v>0.16656005551309838</v>
      </c>
      <c r="P197" s="23">
        <v>644</v>
      </c>
      <c r="Q197" s="23" t="s">
        <v>145</v>
      </c>
      <c r="R197" s="38" t="s">
        <v>148</v>
      </c>
      <c r="S197" s="42">
        <v>11055417000192</v>
      </c>
      <c r="T197" s="17">
        <v>2022</v>
      </c>
      <c r="U197" s="43" t="s">
        <v>180</v>
      </c>
      <c r="V197" s="43">
        <v>2</v>
      </c>
      <c r="W197" s="40">
        <v>209562.94</v>
      </c>
      <c r="X197" s="44" t="s">
        <v>211</v>
      </c>
      <c r="Y197" s="45"/>
      <c r="Z197" s="45"/>
      <c r="AA197" s="45"/>
      <c r="AB197" s="45" t="s">
        <v>174</v>
      </c>
      <c r="AC197" s="51">
        <v>7</v>
      </c>
      <c r="AD197" s="45" t="s">
        <v>177</v>
      </c>
      <c r="AE197" s="45" t="str">
        <f t="shared" si="8"/>
        <v>Neutro</v>
      </c>
    </row>
    <row r="198" spans="1:31" x14ac:dyDescent="0.25">
      <c r="A198" s="14" t="s">
        <v>268</v>
      </c>
      <c r="B198" s="12">
        <v>10112</v>
      </c>
      <c r="C198" s="12">
        <v>2</v>
      </c>
      <c r="D198" s="12" t="s">
        <v>4</v>
      </c>
      <c r="E198" s="12">
        <v>21</v>
      </c>
      <c r="F198" s="12" t="s">
        <v>13</v>
      </c>
      <c r="G198" s="12">
        <v>211</v>
      </c>
      <c r="H198" s="12" t="s">
        <v>153</v>
      </c>
      <c r="I198" s="14" t="s">
        <v>43</v>
      </c>
      <c r="J198" s="13">
        <v>38901</v>
      </c>
      <c r="K198" s="27"/>
      <c r="L198" s="28">
        <v>1634.8</v>
      </c>
      <c r="M198" s="12" t="s">
        <v>224</v>
      </c>
      <c r="N198" s="29">
        <v>390.44</v>
      </c>
      <c r="O198" s="3">
        <f t="shared" si="7"/>
        <v>0.16655046046368072</v>
      </c>
      <c r="P198" s="12">
        <v>628</v>
      </c>
      <c r="Q198" s="12" t="s">
        <v>144</v>
      </c>
      <c r="R198" s="14" t="s">
        <v>149</v>
      </c>
      <c r="S198" s="30">
        <v>11055417000181</v>
      </c>
      <c r="T198" s="12">
        <v>2022</v>
      </c>
      <c r="U198" s="26" t="s">
        <v>181</v>
      </c>
      <c r="V198" s="26">
        <v>3</v>
      </c>
      <c r="W198" s="29">
        <v>204358.76</v>
      </c>
      <c r="X198" s="4" t="s">
        <v>211</v>
      </c>
      <c r="Y198" s="12"/>
      <c r="Z198" s="12"/>
      <c r="AA198" s="12"/>
      <c r="AB198" s="31" t="s">
        <v>174</v>
      </c>
      <c r="AC198" s="52">
        <v>8</v>
      </c>
      <c r="AD198" s="31"/>
      <c r="AE198" s="31" t="str">
        <f t="shared" si="8"/>
        <v>Neutro</v>
      </c>
    </row>
    <row r="199" spans="1:31" x14ac:dyDescent="0.25">
      <c r="A199" s="16" t="s">
        <v>268</v>
      </c>
      <c r="B199" s="17">
        <v>10112</v>
      </c>
      <c r="C199" s="17">
        <v>2</v>
      </c>
      <c r="D199" s="17" t="s">
        <v>4</v>
      </c>
      <c r="E199" s="17">
        <v>21</v>
      </c>
      <c r="F199" s="17" t="s">
        <v>13</v>
      </c>
      <c r="G199" s="17">
        <v>211</v>
      </c>
      <c r="H199" s="23" t="s">
        <v>153</v>
      </c>
      <c r="I199" s="38" t="s">
        <v>62</v>
      </c>
      <c r="J199" s="24">
        <v>41641</v>
      </c>
      <c r="K199" s="24"/>
      <c r="L199" s="39">
        <v>1287.7</v>
      </c>
      <c r="M199" s="23" t="s">
        <v>224</v>
      </c>
      <c r="N199" s="40">
        <v>390.44</v>
      </c>
      <c r="O199" s="41">
        <f t="shared" si="7"/>
        <v>0.16203425666533611</v>
      </c>
      <c r="P199" s="23">
        <v>232</v>
      </c>
      <c r="Q199" s="23" t="s">
        <v>144</v>
      </c>
      <c r="R199" s="38" t="s">
        <v>150</v>
      </c>
      <c r="S199" s="42">
        <v>11055417000200</v>
      </c>
      <c r="T199" s="17">
        <v>2022</v>
      </c>
      <c r="U199" s="43" t="s">
        <v>181</v>
      </c>
      <c r="V199" s="43">
        <v>3</v>
      </c>
      <c r="W199" s="40">
        <v>75904.679999999993</v>
      </c>
      <c r="X199" s="44" t="s">
        <v>211</v>
      </c>
      <c r="Y199" s="45"/>
      <c r="Z199" s="45"/>
      <c r="AA199" s="45"/>
      <c r="AB199" s="45" t="s">
        <v>174</v>
      </c>
      <c r="AC199" s="51">
        <v>9</v>
      </c>
      <c r="AD199" s="45"/>
      <c r="AE199" s="45" t="str">
        <f t="shared" si="8"/>
        <v>Promotor</v>
      </c>
    </row>
    <row r="200" spans="1:31" x14ac:dyDescent="0.25">
      <c r="A200" s="14" t="s">
        <v>268</v>
      </c>
      <c r="B200" s="12">
        <v>10112</v>
      </c>
      <c r="C200" s="12">
        <v>2</v>
      </c>
      <c r="D200" s="12" t="s">
        <v>4</v>
      </c>
      <c r="E200" s="12">
        <v>21</v>
      </c>
      <c r="F200" s="12" t="s">
        <v>13</v>
      </c>
      <c r="G200" s="12">
        <v>211</v>
      </c>
      <c r="H200" s="12" t="s">
        <v>141</v>
      </c>
      <c r="I200" s="14" t="s">
        <v>43</v>
      </c>
      <c r="J200" s="13">
        <v>38901</v>
      </c>
      <c r="K200" s="27"/>
      <c r="L200" s="28">
        <v>1634.8</v>
      </c>
      <c r="M200" s="12" t="s">
        <v>225</v>
      </c>
      <c r="N200" s="29">
        <v>870.35</v>
      </c>
      <c r="O200" s="3">
        <f t="shared" si="7"/>
        <v>0</v>
      </c>
      <c r="P200" s="12" t="s">
        <v>2</v>
      </c>
      <c r="Q200" s="12" t="s">
        <v>145</v>
      </c>
      <c r="R200" s="14" t="s">
        <v>149</v>
      </c>
      <c r="S200" s="30">
        <v>11055417000181</v>
      </c>
      <c r="T200" s="12">
        <v>2022</v>
      </c>
      <c r="U200" s="26" t="s">
        <v>181</v>
      </c>
      <c r="V200" s="26">
        <v>3</v>
      </c>
      <c r="W200" s="29" t="s">
        <v>2</v>
      </c>
      <c r="X200" s="4"/>
      <c r="Y200" s="12"/>
      <c r="Z200" s="12"/>
      <c r="AA200" s="12"/>
      <c r="AB200" s="31" t="s">
        <v>174</v>
      </c>
      <c r="AC200" s="52">
        <v>8</v>
      </c>
      <c r="AD200" s="31" t="s">
        <v>177</v>
      </c>
      <c r="AE200" s="31" t="str">
        <f t="shared" si="8"/>
        <v>Neutro</v>
      </c>
    </row>
    <row r="201" spans="1:31" x14ac:dyDescent="0.25">
      <c r="A201" s="16" t="s">
        <v>268</v>
      </c>
      <c r="B201" s="17">
        <v>10112</v>
      </c>
      <c r="C201" s="17">
        <v>2</v>
      </c>
      <c r="D201" s="17" t="s">
        <v>4</v>
      </c>
      <c r="E201" s="17">
        <v>21</v>
      </c>
      <c r="F201" s="17" t="s">
        <v>13</v>
      </c>
      <c r="G201" s="17">
        <v>211</v>
      </c>
      <c r="H201" s="23" t="s">
        <v>153</v>
      </c>
      <c r="I201" s="38" t="s">
        <v>43</v>
      </c>
      <c r="J201" s="24">
        <v>38901</v>
      </c>
      <c r="K201" s="24"/>
      <c r="L201" s="39">
        <v>1634.8</v>
      </c>
      <c r="M201" s="23" t="s">
        <v>225</v>
      </c>
      <c r="N201" s="40">
        <v>870.35</v>
      </c>
      <c r="O201" s="41">
        <f t="shared" si="7"/>
        <v>0.290962004352048</v>
      </c>
      <c r="P201" s="23">
        <v>492</v>
      </c>
      <c r="Q201" s="23" t="s">
        <v>144</v>
      </c>
      <c r="R201" s="38" t="s">
        <v>149</v>
      </c>
      <c r="S201" s="42">
        <v>11055417000181</v>
      </c>
      <c r="T201" s="17">
        <v>2022</v>
      </c>
      <c r="U201" s="43" t="s">
        <v>181</v>
      </c>
      <c r="V201" s="43">
        <v>3</v>
      </c>
      <c r="W201" s="40">
        <v>303618.71999999997</v>
      </c>
      <c r="X201" s="44" t="s">
        <v>211</v>
      </c>
      <c r="Y201" s="45" t="s">
        <v>174</v>
      </c>
      <c r="Z201" s="45" t="s">
        <v>219</v>
      </c>
      <c r="AA201" s="45" t="s">
        <v>175</v>
      </c>
      <c r="AB201" s="45" t="s">
        <v>175</v>
      </c>
      <c r="AC201" s="51">
        <v>5</v>
      </c>
      <c r="AD201" s="45"/>
      <c r="AE201" s="45" t="str">
        <f t="shared" si="8"/>
        <v>Detrator</v>
      </c>
    </row>
    <row r="202" spans="1:31" x14ac:dyDescent="0.25">
      <c r="A202" s="16" t="s">
        <v>268</v>
      </c>
      <c r="B202" s="17">
        <v>10112</v>
      </c>
      <c r="C202" s="17">
        <v>2</v>
      </c>
      <c r="D202" s="17" t="s">
        <v>4</v>
      </c>
      <c r="E202" s="17">
        <v>21</v>
      </c>
      <c r="F202" s="17" t="s">
        <v>13</v>
      </c>
      <c r="G202" s="17">
        <v>211</v>
      </c>
      <c r="H202" s="23" t="s">
        <v>153</v>
      </c>
      <c r="I202" s="38" t="s">
        <v>43</v>
      </c>
      <c r="J202" s="24">
        <v>38901</v>
      </c>
      <c r="K202" s="20"/>
      <c r="L202" s="39">
        <v>1634.8</v>
      </c>
      <c r="M202" s="23" t="s">
        <v>224</v>
      </c>
      <c r="N202" s="40">
        <v>390.44</v>
      </c>
      <c r="O202" s="41">
        <v>0</v>
      </c>
      <c r="P202" s="23">
        <v>64</v>
      </c>
      <c r="Q202" s="23" t="s">
        <v>144</v>
      </c>
      <c r="R202" s="38" t="s">
        <v>149</v>
      </c>
      <c r="S202" s="42">
        <v>11055417000181</v>
      </c>
      <c r="T202" s="17">
        <v>2022</v>
      </c>
      <c r="U202" s="43" t="s">
        <v>208</v>
      </c>
      <c r="V202" s="43">
        <v>4</v>
      </c>
      <c r="W202" s="40">
        <v>21083.55</v>
      </c>
      <c r="X202" s="44" t="s">
        <v>211</v>
      </c>
      <c r="Y202" s="45"/>
      <c r="Z202" s="45"/>
      <c r="AA202" s="45"/>
      <c r="AB202" s="45" t="s">
        <v>174</v>
      </c>
      <c r="AC202" s="51">
        <v>8</v>
      </c>
      <c r="AD202" s="45"/>
      <c r="AE202" s="45" t="str">
        <f t="shared" si="8"/>
        <v>Neutro</v>
      </c>
    </row>
    <row r="203" spans="1:31" x14ac:dyDescent="0.25">
      <c r="A203" s="5" t="s">
        <v>268</v>
      </c>
      <c r="B203" s="6">
        <v>10112</v>
      </c>
      <c r="C203" s="6">
        <v>2</v>
      </c>
      <c r="D203" s="6" t="s">
        <v>4</v>
      </c>
      <c r="E203" s="6">
        <v>21</v>
      </c>
      <c r="F203" s="6" t="s">
        <v>13</v>
      </c>
      <c r="G203" s="6">
        <v>211</v>
      </c>
      <c r="H203" s="12" t="s">
        <v>153</v>
      </c>
      <c r="I203" s="14" t="s">
        <v>62</v>
      </c>
      <c r="J203" s="13">
        <v>41641</v>
      </c>
      <c r="K203" s="14"/>
      <c r="L203" s="28">
        <v>1287.7</v>
      </c>
      <c r="M203" s="12" t="s">
        <v>224</v>
      </c>
      <c r="N203" s="29">
        <v>390.44</v>
      </c>
      <c r="O203" s="3">
        <v>0</v>
      </c>
      <c r="P203" s="12">
        <v>270</v>
      </c>
      <c r="Q203" s="12" t="s">
        <v>144</v>
      </c>
      <c r="R203" s="14" t="s">
        <v>150</v>
      </c>
      <c r="S203" s="30">
        <v>11055417000200</v>
      </c>
      <c r="T203" s="6">
        <v>2022</v>
      </c>
      <c r="U203" s="26" t="s">
        <v>208</v>
      </c>
      <c r="V203" s="26">
        <v>4</v>
      </c>
      <c r="W203" s="29">
        <v>87848.12</v>
      </c>
      <c r="X203" s="4" t="s">
        <v>211</v>
      </c>
      <c r="Y203" s="31"/>
      <c r="Z203" s="31"/>
      <c r="AA203" s="31"/>
      <c r="AB203" s="31" t="s">
        <v>174</v>
      </c>
      <c r="AC203" s="52">
        <v>7</v>
      </c>
      <c r="AD203" s="31"/>
      <c r="AE203" s="31" t="str">
        <f t="shared" si="8"/>
        <v>Neutro</v>
      </c>
    </row>
    <row r="204" spans="1:31" x14ac:dyDescent="0.25">
      <c r="A204" s="16" t="s">
        <v>268</v>
      </c>
      <c r="B204" s="17">
        <v>10112</v>
      </c>
      <c r="C204" s="17">
        <v>2</v>
      </c>
      <c r="D204" s="17" t="s">
        <v>4</v>
      </c>
      <c r="E204" s="17">
        <v>21</v>
      </c>
      <c r="F204" s="17" t="s">
        <v>13</v>
      </c>
      <c r="G204" s="17">
        <v>211</v>
      </c>
      <c r="H204" s="23" t="s">
        <v>141</v>
      </c>
      <c r="I204" s="38" t="s">
        <v>43</v>
      </c>
      <c r="J204" s="20">
        <v>38901</v>
      </c>
      <c r="K204" s="20"/>
      <c r="L204" s="39">
        <v>1634.8</v>
      </c>
      <c r="M204" s="23" t="s">
        <v>225</v>
      </c>
      <c r="N204" s="40">
        <v>870.35</v>
      </c>
      <c r="O204" s="41">
        <v>0</v>
      </c>
      <c r="P204" s="23" t="s">
        <v>2</v>
      </c>
      <c r="Q204" s="23" t="s">
        <v>145</v>
      </c>
      <c r="R204" s="38" t="s">
        <v>149</v>
      </c>
      <c r="S204" s="42">
        <v>11055417000181</v>
      </c>
      <c r="T204" s="17">
        <v>2022</v>
      </c>
      <c r="U204" s="43" t="s">
        <v>208</v>
      </c>
      <c r="V204" s="43">
        <v>4</v>
      </c>
      <c r="W204" s="40" t="s">
        <v>2</v>
      </c>
      <c r="X204" s="44"/>
      <c r="Y204" s="45"/>
      <c r="Z204" s="45"/>
      <c r="AA204" s="45"/>
      <c r="AB204" s="45" t="s">
        <v>174</v>
      </c>
      <c r="AC204" s="51">
        <v>9</v>
      </c>
      <c r="AD204" s="45" t="s">
        <v>177</v>
      </c>
      <c r="AE204" s="45" t="str">
        <f t="shared" si="8"/>
        <v>Promotor</v>
      </c>
    </row>
    <row r="205" spans="1:31" x14ac:dyDescent="0.25">
      <c r="A205" s="5" t="s">
        <v>268</v>
      </c>
      <c r="B205" s="6">
        <v>10112</v>
      </c>
      <c r="C205" s="6">
        <v>2</v>
      </c>
      <c r="D205" s="6" t="s">
        <v>4</v>
      </c>
      <c r="E205" s="6">
        <v>21</v>
      </c>
      <c r="F205" s="6" t="s">
        <v>13</v>
      </c>
      <c r="G205" s="6">
        <v>211</v>
      </c>
      <c r="H205" s="12" t="s">
        <v>153</v>
      </c>
      <c r="I205" s="14" t="s">
        <v>43</v>
      </c>
      <c r="J205" s="13">
        <v>38901</v>
      </c>
      <c r="K205" s="14"/>
      <c r="L205" s="28">
        <v>1634.8</v>
      </c>
      <c r="M205" s="12" t="s">
        <v>225</v>
      </c>
      <c r="N205" s="29">
        <v>870.35</v>
      </c>
      <c r="O205" s="3">
        <v>0.14915890699437973</v>
      </c>
      <c r="P205" s="12">
        <v>629</v>
      </c>
      <c r="Q205" s="12" t="s">
        <v>144</v>
      </c>
      <c r="R205" s="14" t="s">
        <v>149</v>
      </c>
      <c r="S205" s="30">
        <v>11055417000181</v>
      </c>
      <c r="T205" s="6">
        <v>2022</v>
      </c>
      <c r="U205" s="26" t="s">
        <v>208</v>
      </c>
      <c r="V205" s="26">
        <v>4</v>
      </c>
      <c r="W205" s="29">
        <v>456065.82</v>
      </c>
      <c r="X205" s="4" t="s">
        <v>211</v>
      </c>
      <c r="Y205" s="31" t="s">
        <v>174</v>
      </c>
      <c r="Z205" s="31" t="s">
        <v>217</v>
      </c>
      <c r="AA205" s="31" t="s">
        <v>175</v>
      </c>
      <c r="AB205" s="31" t="s">
        <v>175</v>
      </c>
      <c r="AC205" s="52">
        <v>6</v>
      </c>
      <c r="AD205" s="31"/>
      <c r="AE205" s="31" t="str">
        <f t="shared" si="8"/>
        <v>Detrator</v>
      </c>
    </row>
    <row r="206" spans="1:31" x14ac:dyDescent="0.25">
      <c r="A206" s="14" t="s">
        <v>268</v>
      </c>
      <c r="B206" s="12">
        <v>10112</v>
      </c>
      <c r="C206" s="12">
        <v>2</v>
      </c>
      <c r="D206" s="12" t="s">
        <v>4</v>
      </c>
      <c r="E206" s="12">
        <v>21</v>
      </c>
      <c r="F206" s="12" t="s">
        <v>13</v>
      </c>
      <c r="G206" s="12">
        <v>211</v>
      </c>
      <c r="H206" s="12" t="s">
        <v>153</v>
      </c>
      <c r="I206" s="14" t="s">
        <v>43</v>
      </c>
      <c r="J206" s="13">
        <v>38901</v>
      </c>
      <c r="K206" s="27"/>
      <c r="L206" s="28">
        <v>1634.8</v>
      </c>
      <c r="M206" s="12" t="s">
        <v>224</v>
      </c>
      <c r="N206" s="29">
        <v>390.44</v>
      </c>
      <c r="O206" s="3">
        <v>0</v>
      </c>
      <c r="P206" s="12">
        <v>185</v>
      </c>
      <c r="Q206" s="12" t="s">
        <v>144</v>
      </c>
      <c r="R206" s="14" t="s">
        <v>149</v>
      </c>
      <c r="S206" s="30">
        <v>11055417000181</v>
      </c>
      <c r="T206" s="12">
        <v>2022</v>
      </c>
      <c r="U206" s="26" t="s">
        <v>212</v>
      </c>
      <c r="V206" s="26">
        <v>5</v>
      </c>
      <c r="W206" s="29">
        <v>60127.16</v>
      </c>
      <c r="X206" s="4" t="s">
        <v>211</v>
      </c>
      <c r="Y206" s="12"/>
      <c r="Z206" s="12"/>
      <c r="AA206" s="12"/>
      <c r="AB206" s="31" t="s">
        <v>174</v>
      </c>
      <c r="AC206" s="52">
        <v>9</v>
      </c>
      <c r="AD206" s="31"/>
      <c r="AE206" s="31" t="str">
        <f t="shared" si="8"/>
        <v>Promotor</v>
      </c>
    </row>
    <row r="207" spans="1:31" x14ac:dyDescent="0.25">
      <c r="A207" s="16" t="s">
        <v>268</v>
      </c>
      <c r="B207" s="17">
        <v>10112</v>
      </c>
      <c r="C207" s="17">
        <v>2</v>
      </c>
      <c r="D207" s="17" t="s">
        <v>4</v>
      </c>
      <c r="E207" s="17">
        <v>21</v>
      </c>
      <c r="F207" s="17" t="s">
        <v>13</v>
      </c>
      <c r="G207" s="17">
        <v>211</v>
      </c>
      <c r="H207" s="23" t="s">
        <v>153</v>
      </c>
      <c r="I207" s="38" t="s">
        <v>62</v>
      </c>
      <c r="J207" s="24">
        <v>41641</v>
      </c>
      <c r="K207" s="24"/>
      <c r="L207" s="39">
        <v>1287.7</v>
      </c>
      <c r="M207" s="23" t="s">
        <v>224</v>
      </c>
      <c r="N207" s="40">
        <v>390.44</v>
      </c>
      <c r="O207" s="41">
        <v>0</v>
      </c>
      <c r="P207" s="23">
        <v>270</v>
      </c>
      <c r="Q207" s="23" t="s">
        <v>144</v>
      </c>
      <c r="R207" s="38" t="s">
        <v>150</v>
      </c>
      <c r="S207" s="42">
        <v>11055417000200</v>
      </c>
      <c r="T207" s="17">
        <v>2022</v>
      </c>
      <c r="U207" s="43" t="s">
        <v>212</v>
      </c>
      <c r="V207" s="43">
        <v>5</v>
      </c>
      <c r="W207" s="40">
        <v>87848.12</v>
      </c>
      <c r="X207" s="44" t="s">
        <v>220</v>
      </c>
      <c r="Y207" s="45"/>
      <c r="Z207" s="45"/>
      <c r="AA207" s="45"/>
      <c r="AB207" s="45" t="s">
        <v>174</v>
      </c>
      <c r="AC207" s="51">
        <v>8</v>
      </c>
      <c r="AD207" s="45"/>
      <c r="AE207" s="45" t="str">
        <f t="shared" si="8"/>
        <v>Neutro</v>
      </c>
    </row>
    <row r="208" spans="1:31" x14ac:dyDescent="0.25">
      <c r="A208" s="14" t="s">
        <v>268</v>
      </c>
      <c r="B208" s="12">
        <v>10112</v>
      </c>
      <c r="C208" s="12">
        <v>2</v>
      </c>
      <c r="D208" s="12" t="s">
        <v>4</v>
      </c>
      <c r="E208" s="12">
        <v>21</v>
      </c>
      <c r="F208" s="12" t="s">
        <v>13</v>
      </c>
      <c r="G208" s="12">
        <v>211</v>
      </c>
      <c r="H208" s="12" t="s">
        <v>141</v>
      </c>
      <c r="I208" s="14" t="s">
        <v>43</v>
      </c>
      <c r="J208" s="13">
        <v>38901</v>
      </c>
      <c r="K208" s="27"/>
      <c r="L208" s="28">
        <v>1634.8</v>
      </c>
      <c r="M208" s="12" t="s">
        <v>225</v>
      </c>
      <c r="N208" s="29">
        <v>870.35</v>
      </c>
      <c r="O208" s="3">
        <v>0</v>
      </c>
      <c r="P208" s="12" t="s">
        <v>2</v>
      </c>
      <c r="Q208" s="12" t="s">
        <v>145</v>
      </c>
      <c r="R208" s="14" t="s">
        <v>149</v>
      </c>
      <c r="S208" s="30">
        <v>11055417000181</v>
      </c>
      <c r="T208" s="12">
        <v>2022</v>
      </c>
      <c r="U208" s="26" t="s">
        <v>212</v>
      </c>
      <c r="V208" s="26">
        <v>5</v>
      </c>
      <c r="W208" s="29" t="s">
        <v>2</v>
      </c>
      <c r="X208" s="4"/>
      <c r="Y208" s="12"/>
      <c r="Z208" s="12"/>
      <c r="AA208" s="12"/>
      <c r="AB208" s="31" t="s">
        <v>174</v>
      </c>
      <c r="AC208" s="52">
        <v>10</v>
      </c>
      <c r="AD208" s="31" t="s">
        <v>177</v>
      </c>
      <c r="AE208" s="31" t="str">
        <f t="shared" si="8"/>
        <v>Promotor</v>
      </c>
    </row>
    <row r="209" spans="1:31" x14ac:dyDescent="0.25">
      <c r="A209" s="16" t="s">
        <v>268</v>
      </c>
      <c r="B209" s="17">
        <v>10112</v>
      </c>
      <c r="C209" s="17">
        <v>2</v>
      </c>
      <c r="D209" s="17" t="s">
        <v>4</v>
      </c>
      <c r="E209" s="17">
        <v>21</v>
      </c>
      <c r="F209" s="17" t="s">
        <v>13</v>
      </c>
      <c r="G209" s="17">
        <v>211</v>
      </c>
      <c r="H209" s="23" t="s">
        <v>153</v>
      </c>
      <c r="I209" s="38" t="s">
        <v>43</v>
      </c>
      <c r="J209" s="24">
        <v>38901</v>
      </c>
      <c r="K209" s="24"/>
      <c r="L209" s="39">
        <v>1634.8</v>
      </c>
      <c r="M209" s="23" t="s">
        <v>225</v>
      </c>
      <c r="N209" s="40">
        <v>870.35</v>
      </c>
      <c r="O209" s="41">
        <v>0.14915890699437973</v>
      </c>
      <c r="P209" s="23">
        <v>780</v>
      </c>
      <c r="Q209" s="23" t="s">
        <v>144</v>
      </c>
      <c r="R209" s="38" t="s">
        <v>149</v>
      </c>
      <c r="S209" s="42">
        <v>11055417000181</v>
      </c>
      <c r="T209" s="17">
        <v>2022</v>
      </c>
      <c r="U209" s="43" t="s">
        <v>212</v>
      </c>
      <c r="V209" s="43">
        <v>5</v>
      </c>
      <c r="W209" s="40">
        <v>565730.49</v>
      </c>
      <c r="X209" s="44" t="s">
        <v>211</v>
      </c>
      <c r="Y209" s="45" t="s">
        <v>174</v>
      </c>
      <c r="Z209" s="45" t="s">
        <v>217</v>
      </c>
      <c r="AA209" s="45" t="s">
        <v>175</v>
      </c>
      <c r="AB209" s="45" t="s">
        <v>175</v>
      </c>
      <c r="AC209" s="51">
        <v>4</v>
      </c>
      <c r="AD209" s="45"/>
      <c r="AE209" s="45" t="str">
        <f t="shared" si="8"/>
        <v>Detrator</v>
      </c>
    </row>
    <row r="210" spans="1:31" x14ac:dyDescent="0.25">
      <c r="A210" s="14" t="s">
        <v>268</v>
      </c>
      <c r="B210" s="12">
        <v>10112</v>
      </c>
      <c r="C210" s="12">
        <v>2</v>
      </c>
      <c r="D210" s="12" t="s">
        <v>4</v>
      </c>
      <c r="E210" s="12">
        <v>21</v>
      </c>
      <c r="F210" s="12" t="s">
        <v>13</v>
      </c>
      <c r="G210" s="12">
        <v>211</v>
      </c>
      <c r="H210" s="12" t="s">
        <v>141</v>
      </c>
      <c r="I210" s="14" t="s">
        <v>52</v>
      </c>
      <c r="J210" s="13">
        <v>42258</v>
      </c>
      <c r="K210" s="27"/>
      <c r="L210" s="28">
        <v>1903.93</v>
      </c>
      <c r="M210" s="12" t="s">
        <v>224</v>
      </c>
      <c r="N210" s="29">
        <v>429.48</v>
      </c>
      <c r="O210" s="3">
        <f t="shared" ref="O210:O219" si="9">IF(IFERROR((1-W210/(N210*P210)),0)&lt;0,0,IFERROR((1-W210/(N210*P210)),0))</f>
        <v>0</v>
      </c>
      <c r="P210" s="12" t="s">
        <v>2</v>
      </c>
      <c r="Q210" s="12" t="s">
        <v>145</v>
      </c>
      <c r="R210" s="14" t="s">
        <v>148</v>
      </c>
      <c r="S210" s="30">
        <v>11055417000192</v>
      </c>
      <c r="T210" s="12">
        <v>2022</v>
      </c>
      <c r="U210" s="26" t="s">
        <v>228</v>
      </c>
      <c r="V210" s="26">
        <v>6</v>
      </c>
      <c r="W210" s="29" t="s">
        <v>2</v>
      </c>
      <c r="X210" s="4"/>
      <c r="Y210" s="12" t="s">
        <v>174</v>
      </c>
      <c r="Z210" s="12" t="s">
        <v>216</v>
      </c>
      <c r="AA210" s="31" t="s">
        <v>174</v>
      </c>
      <c r="AB210" s="12" t="s">
        <v>2</v>
      </c>
      <c r="AC210" s="52" t="s">
        <v>2</v>
      </c>
      <c r="AD210" s="31"/>
      <c r="AE210" s="31" t="str">
        <f t="shared" si="8"/>
        <v>-</v>
      </c>
    </row>
    <row r="211" spans="1:31" x14ac:dyDescent="0.25">
      <c r="A211" s="16" t="s">
        <v>268</v>
      </c>
      <c r="B211" s="17">
        <v>10112</v>
      </c>
      <c r="C211" s="17">
        <v>2</v>
      </c>
      <c r="D211" s="17" t="s">
        <v>4</v>
      </c>
      <c r="E211" s="17">
        <v>21</v>
      </c>
      <c r="F211" s="17" t="s">
        <v>13</v>
      </c>
      <c r="G211" s="17">
        <v>211</v>
      </c>
      <c r="H211" s="23" t="s">
        <v>141</v>
      </c>
      <c r="I211" s="38" t="s">
        <v>256</v>
      </c>
      <c r="J211" s="24">
        <v>44715</v>
      </c>
      <c r="K211" s="24"/>
      <c r="L211" s="39">
        <v>1669.2</v>
      </c>
      <c r="M211" s="23" t="s">
        <v>224</v>
      </c>
      <c r="N211" s="40">
        <v>429.48</v>
      </c>
      <c r="O211" s="41">
        <f t="shared" si="9"/>
        <v>0.16624087816182642</v>
      </c>
      <c r="P211" s="23">
        <v>680</v>
      </c>
      <c r="Q211" s="23" t="s">
        <v>144</v>
      </c>
      <c r="R211" s="38" t="s">
        <v>149</v>
      </c>
      <c r="S211" s="42">
        <v>11055417000181</v>
      </c>
      <c r="T211" s="17">
        <v>2022</v>
      </c>
      <c r="U211" s="43" t="s">
        <v>228</v>
      </c>
      <c r="V211" s="43">
        <v>6</v>
      </c>
      <c r="W211" s="40">
        <v>243496.35</v>
      </c>
      <c r="X211" s="44" t="s">
        <v>211</v>
      </c>
      <c r="Y211" s="45"/>
      <c r="Z211" s="45"/>
      <c r="AA211" s="45"/>
      <c r="AB211" s="45" t="s">
        <v>174</v>
      </c>
      <c r="AC211" s="51">
        <v>7</v>
      </c>
      <c r="AD211" s="45"/>
      <c r="AE211" s="45" t="str">
        <f t="shared" si="8"/>
        <v>Neutro</v>
      </c>
    </row>
    <row r="212" spans="1:31" x14ac:dyDescent="0.25">
      <c r="A212" s="16" t="s">
        <v>268</v>
      </c>
      <c r="B212" s="17">
        <v>10112</v>
      </c>
      <c r="C212" s="17">
        <v>2</v>
      </c>
      <c r="D212" s="17" t="s">
        <v>4</v>
      </c>
      <c r="E212" s="17">
        <v>21</v>
      </c>
      <c r="F212" s="17" t="s">
        <v>13</v>
      </c>
      <c r="G212" s="17">
        <v>211</v>
      </c>
      <c r="H212" s="23" t="s">
        <v>153</v>
      </c>
      <c r="I212" s="38" t="s">
        <v>43</v>
      </c>
      <c r="J212" s="24">
        <v>38901</v>
      </c>
      <c r="K212" s="20"/>
      <c r="L212" s="39">
        <v>1634.8</v>
      </c>
      <c r="M212" s="23" t="s">
        <v>225</v>
      </c>
      <c r="N212" s="40">
        <v>957.39</v>
      </c>
      <c r="O212" s="41">
        <f t="shared" si="9"/>
        <v>0</v>
      </c>
      <c r="P212" s="23" t="s">
        <v>2</v>
      </c>
      <c r="Q212" s="23" t="s">
        <v>145</v>
      </c>
      <c r="R212" s="38" t="s">
        <v>150</v>
      </c>
      <c r="S212" s="42">
        <v>11055417000200</v>
      </c>
      <c r="T212" s="17">
        <v>2022</v>
      </c>
      <c r="U212" s="23" t="s">
        <v>229</v>
      </c>
      <c r="V212" s="23">
        <v>7</v>
      </c>
      <c r="W212" s="40" t="s">
        <v>2</v>
      </c>
      <c r="X212" s="44"/>
      <c r="Y212" s="45"/>
      <c r="Z212" s="45"/>
      <c r="AA212" s="45"/>
      <c r="AB212" s="45" t="s">
        <v>2</v>
      </c>
      <c r="AC212" s="51" t="s">
        <v>2</v>
      </c>
      <c r="AD212" s="45"/>
      <c r="AE212" s="45" t="str">
        <f t="shared" si="8"/>
        <v>-</v>
      </c>
    </row>
    <row r="213" spans="1:31" x14ac:dyDescent="0.25">
      <c r="A213" s="5" t="s">
        <v>268</v>
      </c>
      <c r="B213" s="6">
        <v>10112</v>
      </c>
      <c r="C213" s="6">
        <v>2</v>
      </c>
      <c r="D213" s="6" t="s">
        <v>4</v>
      </c>
      <c r="E213" s="6">
        <v>21</v>
      </c>
      <c r="F213" s="6" t="s">
        <v>13</v>
      </c>
      <c r="G213" s="6">
        <v>211</v>
      </c>
      <c r="H213" s="12" t="s">
        <v>141</v>
      </c>
      <c r="I213" s="14" t="s">
        <v>62</v>
      </c>
      <c r="J213" s="13">
        <v>41641</v>
      </c>
      <c r="K213" s="14"/>
      <c r="L213" s="28">
        <v>1287.7</v>
      </c>
      <c r="M213" s="12" t="s">
        <v>226</v>
      </c>
      <c r="N213" s="29">
        <v>858.08</v>
      </c>
      <c r="O213" s="3">
        <f t="shared" si="9"/>
        <v>0.16380138874251116</v>
      </c>
      <c r="P213" s="12">
        <v>115</v>
      </c>
      <c r="Q213" s="12" t="s">
        <v>144</v>
      </c>
      <c r="R213" s="14" t="s">
        <v>151</v>
      </c>
      <c r="S213" s="30">
        <v>11055417000189</v>
      </c>
      <c r="T213" s="6">
        <v>2022</v>
      </c>
      <c r="U213" s="26" t="s">
        <v>229</v>
      </c>
      <c r="V213" s="26">
        <v>7</v>
      </c>
      <c r="W213" s="29">
        <v>82515.41</v>
      </c>
      <c r="X213" s="4" t="s">
        <v>211</v>
      </c>
      <c r="Y213" s="31"/>
      <c r="Z213" s="31"/>
      <c r="AA213" s="31"/>
      <c r="AB213" s="31" t="s">
        <v>174</v>
      </c>
      <c r="AC213" s="52">
        <v>8</v>
      </c>
      <c r="AD213" s="31"/>
      <c r="AE213" s="31" t="str">
        <f t="shared" si="8"/>
        <v>Neutro</v>
      </c>
    </row>
    <row r="214" spans="1:31" x14ac:dyDescent="0.25">
      <c r="A214" s="16" t="s">
        <v>268</v>
      </c>
      <c r="B214" s="17">
        <v>10112</v>
      </c>
      <c r="C214" s="17">
        <v>2</v>
      </c>
      <c r="D214" s="17" t="s">
        <v>4</v>
      </c>
      <c r="E214" s="17">
        <v>21</v>
      </c>
      <c r="F214" s="17" t="s">
        <v>13</v>
      </c>
      <c r="G214" s="17">
        <v>211</v>
      </c>
      <c r="H214" s="23" t="s">
        <v>153</v>
      </c>
      <c r="I214" s="38" t="s">
        <v>53</v>
      </c>
      <c r="J214" s="24">
        <v>40697</v>
      </c>
      <c r="K214" s="20"/>
      <c r="L214" s="39">
        <v>1403.23</v>
      </c>
      <c r="M214" s="23" t="s">
        <v>224</v>
      </c>
      <c r="N214" s="40">
        <v>429.48</v>
      </c>
      <c r="O214" s="41">
        <f t="shared" si="9"/>
        <v>0.16586699198182242</v>
      </c>
      <c r="P214" s="23">
        <v>691</v>
      </c>
      <c r="Q214" s="23" t="s">
        <v>144</v>
      </c>
      <c r="R214" s="38" t="s">
        <v>146</v>
      </c>
      <c r="S214" s="42">
        <v>11055417000196</v>
      </c>
      <c r="T214" s="17">
        <v>2022</v>
      </c>
      <c r="U214" s="23" t="s">
        <v>229</v>
      </c>
      <c r="V214" s="23">
        <v>7</v>
      </c>
      <c r="W214" s="40">
        <v>247546.22</v>
      </c>
      <c r="X214" s="44" t="s">
        <v>211</v>
      </c>
      <c r="Y214" s="45" t="s">
        <v>174</v>
      </c>
      <c r="Z214" s="45" t="s">
        <v>216</v>
      </c>
      <c r="AA214" s="45" t="s">
        <v>174</v>
      </c>
      <c r="AB214" s="45" t="s">
        <v>175</v>
      </c>
      <c r="AC214" s="51">
        <v>3</v>
      </c>
      <c r="AD214" s="45"/>
      <c r="AE214" s="45" t="str">
        <f t="shared" si="8"/>
        <v>Detrator</v>
      </c>
    </row>
    <row r="215" spans="1:31" x14ac:dyDescent="0.25">
      <c r="A215" s="5" t="s">
        <v>268</v>
      </c>
      <c r="B215" s="6">
        <v>10112</v>
      </c>
      <c r="C215" s="6">
        <v>2</v>
      </c>
      <c r="D215" s="6" t="s">
        <v>4</v>
      </c>
      <c r="E215" s="6">
        <v>21</v>
      </c>
      <c r="F215" s="6" t="s">
        <v>13</v>
      </c>
      <c r="G215" s="6">
        <v>211</v>
      </c>
      <c r="H215" s="12" t="s">
        <v>141</v>
      </c>
      <c r="I215" s="59" t="s">
        <v>256</v>
      </c>
      <c r="J215" s="13">
        <v>44715</v>
      </c>
      <c r="K215" s="14"/>
      <c r="L215" s="28">
        <v>1634.8</v>
      </c>
      <c r="M215" s="12" t="s">
        <v>224</v>
      </c>
      <c r="N215" s="29">
        <v>429.48</v>
      </c>
      <c r="O215" s="3">
        <f t="shared" si="9"/>
        <v>0.16556511487719883</v>
      </c>
      <c r="P215" s="12">
        <v>614</v>
      </c>
      <c r="Q215" s="12" t="s">
        <v>145</v>
      </c>
      <c r="R215" s="14" t="s">
        <v>148</v>
      </c>
      <c r="S215" s="30">
        <v>11055417000192</v>
      </c>
      <c r="T215" s="6">
        <v>2022</v>
      </c>
      <c r="U215" s="26" t="s">
        <v>229</v>
      </c>
      <c r="V215" s="26">
        <v>7</v>
      </c>
      <c r="W215" s="29">
        <v>220041.08</v>
      </c>
      <c r="X215" s="4" t="s">
        <v>211</v>
      </c>
      <c r="Y215" s="31"/>
      <c r="Z215" s="31"/>
      <c r="AA215" s="31"/>
      <c r="AB215" s="31" t="s">
        <v>174</v>
      </c>
      <c r="AC215" s="52">
        <v>7</v>
      </c>
      <c r="AD215" s="31"/>
      <c r="AE215" s="31" t="str">
        <f t="shared" si="8"/>
        <v>Neutro</v>
      </c>
    </row>
    <row r="216" spans="1:31" x14ac:dyDescent="0.25">
      <c r="A216" s="16" t="s">
        <v>268</v>
      </c>
      <c r="B216" s="17">
        <v>10112</v>
      </c>
      <c r="C216" s="17">
        <v>2</v>
      </c>
      <c r="D216" s="17" t="s">
        <v>4</v>
      </c>
      <c r="E216" s="17">
        <v>21</v>
      </c>
      <c r="F216" s="17" t="s">
        <v>13</v>
      </c>
      <c r="G216" s="17">
        <v>211</v>
      </c>
      <c r="H216" s="23" t="s">
        <v>153</v>
      </c>
      <c r="I216" s="38" t="s">
        <v>43</v>
      </c>
      <c r="J216" s="24">
        <v>38901</v>
      </c>
      <c r="K216" s="20"/>
      <c r="L216" s="39">
        <v>1634.8</v>
      </c>
      <c r="M216" s="23" t="s">
        <v>224</v>
      </c>
      <c r="N216" s="40">
        <v>429.48</v>
      </c>
      <c r="O216" s="41">
        <f t="shared" si="9"/>
        <v>0.16730041755921887</v>
      </c>
      <c r="P216" s="23">
        <v>600</v>
      </c>
      <c r="Q216" s="23" t="s">
        <v>144</v>
      </c>
      <c r="R216" s="38" t="s">
        <v>149</v>
      </c>
      <c r="S216" s="42">
        <v>11055417000181</v>
      </c>
      <c r="T216" s="17">
        <v>2022</v>
      </c>
      <c r="U216" s="23" t="s">
        <v>230</v>
      </c>
      <c r="V216" s="23">
        <v>8</v>
      </c>
      <c r="W216" s="40">
        <v>214576.69</v>
      </c>
      <c r="X216" s="44" t="s">
        <v>211</v>
      </c>
      <c r="Y216" s="45"/>
      <c r="Z216" s="45"/>
      <c r="AA216" s="45"/>
      <c r="AB216" s="45" t="s">
        <v>174</v>
      </c>
      <c r="AC216" s="51">
        <v>6</v>
      </c>
      <c r="AD216" s="45"/>
      <c r="AE216" s="45" t="str">
        <f t="shared" si="8"/>
        <v>Detrator</v>
      </c>
    </row>
    <row r="217" spans="1:31" x14ac:dyDescent="0.25">
      <c r="A217" s="5" t="s">
        <v>268</v>
      </c>
      <c r="B217" s="6">
        <v>10112</v>
      </c>
      <c r="C217" s="6">
        <v>2</v>
      </c>
      <c r="D217" s="6" t="s">
        <v>4</v>
      </c>
      <c r="E217" s="6">
        <v>21</v>
      </c>
      <c r="F217" s="6" t="s">
        <v>13</v>
      </c>
      <c r="G217" s="6">
        <v>211</v>
      </c>
      <c r="H217" s="12" t="s">
        <v>153</v>
      </c>
      <c r="I217" s="14" t="s">
        <v>62</v>
      </c>
      <c r="J217" s="13">
        <v>41641</v>
      </c>
      <c r="K217" s="14"/>
      <c r="L217" s="28">
        <v>1287.7</v>
      </c>
      <c r="M217" s="12" t="s">
        <v>224</v>
      </c>
      <c r="N217" s="29">
        <v>429.48</v>
      </c>
      <c r="O217" s="3">
        <f t="shared" si="9"/>
        <v>0.16783378878034183</v>
      </c>
      <c r="P217" s="12">
        <v>223</v>
      </c>
      <c r="Q217" s="12" t="s">
        <v>144</v>
      </c>
      <c r="R217" s="14" t="s">
        <v>150</v>
      </c>
      <c r="S217" s="30">
        <v>11055417000200</v>
      </c>
      <c r="T217" s="6">
        <v>2022</v>
      </c>
      <c r="U217" s="26" t="s">
        <v>230</v>
      </c>
      <c r="V217" s="26">
        <v>8</v>
      </c>
      <c r="W217" s="29">
        <v>79699.92</v>
      </c>
      <c r="X217" s="4" t="s">
        <v>211</v>
      </c>
      <c r="Y217" s="31"/>
      <c r="Z217" s="31"/>
      <c r="AA217" s="31"/>
      <c r="AB217" s="31" t="s">
        <v>174</v>
      </c>
      <c r="AC217" s="52">
        <v>8</v>
      </c>
      <c r="AD217" s="31"/>
      <c r="AE217" s="31" t="str">
        <f t="shared" si="8"/>
        <v>Neutro</v>
      </c>
    </row>
    <row r="218" spans="1:31" x14ac:dyDescent="0.25">
      <c r="A218" s="16" t="s">
        <v>268</v>
      </c>
      <c r="B218" s="17">
        <v>10112</v>
      </c>
      <c r="C218" s="17">
        <v>2</v>
      </c>
      <c r="D218" s="17" t="s">
        <v>4</v>
      </c>
      <c r="E218" s="17">
        <v>21</v>
      </c>
      <c r="F218" s="17" t="s">
        <v>13</v>
      </c>
      <c r="G218" s="17">
        <v>211</v>
      </c>
      <c r="H218" s="23" t="s">
        <v>141</v>
      </c>
      <c r="I218" s="38" t="s">
        <v>43</v>
      </c>
      <c r="J218" s="24">
        <v>38901</v>
      </c>
      <c r="K218" s="20"/>
      <c r="L218" s="39">
        <v>1634.8</v>
      </c>
      <c r="M218" s="23" t="s">
        <v>225</v>
      </c>
      <c r="N218" s="40">
        <v>957.39</v>
      </c>
      <c r="O218" s="41">
        <f t="shared" si="9"/>
        <v>0</v>
      </c>
      <c r="P218" s="23" t="s">
        <v>2</v>
      </c>
      <c r="Q218" s="23" t="s">
        <v>145</v>
      </c>
      <c r="R218" s="38" t="s">
        <v>149</v>
      </c>
      <c r="S218" s="42">
        <v>11055417000181</v>
      </c>
      <c r="T218" s="17">
        <v>2022</v>
      </c>
      <c r="U218" s="23" t="s">
        <v>230</v>
      </c>
      <c r="V218" s="23">
        <v>8</v>
      </c>
      <c r="W218" s="40" t="s">
        <v>2</v>
      </c>
      <c r="X218" s="44"/>
      <c r="Y218" s="45"/>
      <c r="Z218" s="45"/>
      <c r="AA218" s="45"/>
      <c r="AB218" s="45" t="s">
        <v>174</v>
      </c>
      <c r="AC218" s="51">
        <v>9</v>
      </c>
      <c r="AD218" s="45"/>
      <c r="AE218" s="45" t="str">
        <f t="shared" si="8"/>
        <v>Promotor</v>
      </c>
    </row>
    <row r="219" spans="1:31" x14ac:dyDescent="0.25">
      <c r="A219" s="5" t="s">
        <v>268</v>
      </c>
      <c r="B219" s="6">
        <v>10112</v>
      </c>
      <c r="C219" s="6">
        <v>2</v>
      </c>
      <c r="D219" s="6" t="s">
        <v>4</v>
      </c>
      <c r="E219" s="6">
        <v>21</v>
      </c>
      <c r="F219" s="6" t="s">
        <v>13</v>
      </c>
      <c r="G219" s="6">
        <v>211</v>
      </c>
      <c r="H219" s="12" t="s">
        <v>153</v>
      </c>
      <c r="I219" s="14" t="s">
        <v>43</v>
      </c>
      <c r="J219" s="13">
        <v>38901</v>
      </c>
      <c r="K219" s="14"/>
      <c r="L219" s="28">
        <v>1634.8</v>
      </c>
      <c r="M219" s="12" t="s">
        <v>225</v>
      </c>
      <c r="N219" s="29">
        <v>957.39</v>
      </c>
      <c r="O219" s="3">
        <f t="shared" si="9"/>
        <v>0.1654429056692116</v>
      </c>
      <c r="P219" s="12">
        <v>399</v>
      </c>
      <c r="Q219" s="12" t="s">
        <v>144</v>
      </c>
      <c r="R219" s="14" t="s">
        <v>149</v>
      </c>
      <c r="S219" s="30">
        <v>11055417000181</v>
      </c>
      <c r="T219" s="6">
        <v>2022</v>
      </c>
      <c r="U219" s="26" t="s">
        <v>230</v>
      </c>
      <c r="V219" s="26">
        <v>8</v>
      </c>
      <c r="W219" s="29">
        <v>318799.65000000002</v>
      </c>
      <c r="X219" s="4" t="s">
        <v>211</v>
      </c>
      <c r="Y219" s="31" t="s">
        <v>174</v>
      </c>
      <c r="Z219" s="31" t="s">
        <v>219</v>
      </c>
      <c r="AA219" s="31" t="s">
        <v>175</v>
      </c>
      <c r="AB219" s="31" t="s">
        <v>175</v>
      </c>
      <c r="AC219" s="52">
        <v>5</v>
      </c>
      <c r="AD219" s="31"/>
      <c r="AE219" s="31" t="str">
        <f t="shared" si="8"/>
        <v>Detrator</v>
      </c>
    </row>
    <row r="220" spans="1:31" x14ac:dyDescent="0.25">
      <c r="A220" s="14" t="s">
        <v>268</v>
      </c>
      <c r="B220" s="12">
        <v>10112</v>
      </c>
      <c r="C220" s="12">
        <v>2</v>
      </c>
      <c r="D220" s="12" t="s">
        <v>4</v>
      </c>
      <c r="E220" s="12">
        <v>21</v>
      </c>
      <c r="F220" s="12" t="s">
        <v>13</v>
      </c>
      <c r="G220" s="12">
        <v>211</v>
      </c>
      <c r="H220" s="12" t="s">
        <v>153</v>
      </c>
      <c r="I220" s="14" t="s">
        <v>43</v>
      </c>
      <c r="J220" s="13">
        <v>38901</v>
      </c>
      <c r="K220" s="27"/>
      <c r="L220" s="28">
        <v>1634.8</v>
      </c>
      <c r="M220" s="12" t="s">
        <v>224</v>
      </c>
      <c r="N220" s="29">
        <v>429.48</v>
      </c>
      <c r="O220" s="3">
        <v>0</v>
      </c>
      <c r="P220" s="12">
        <v>62</v>
      </c>
      <c r="Q220" s="12" t="s">
        <v>144</v>
      </c>
      <c r="R220" s="14" t="s">
        <v>149</v>
      </c>
      <c r="S220" s="30">
        <v>11055417000181</v>
      </c>
      <c r="T220" s="12">
        <v>2022</v>
      </c>
      <c r="U220" s="12" t="s">
        <v>231</v>
      </c>
      <c r="V220" s="12">
        <v>9</v>
      </c>
      <c r="W220" s="29">
        <v>22137.73</v>
      </c>
      <c r="X220" s="4" t="s">
        <v>211</v>
      </c>
      <c r="Y220" s="12"/>
      <c r="Z220" s="12"/>
      <c r="AA220" s="12"/>
      <c r="AB220" s="31" t="s">
        <v>174</v>
      </c>
      <c r="AC220" s="52">
        <v>9</v>
      </c>
      <c r="AD220" s="31"/>
      <c r="AE220" s="31" t="str">
        <f t="shared" si="8"/>
        <v>Promotor</v>
      </c>
    </row>
    <row r="221" spans="1:31" x14ac:dyDescent="0.25">
      <c r="A221" s="16" t="s">
        <v>268</v>
      </c>
      <c r="B221" s="17">
        <v>10112</v>
      </c>
      <c r="C221" s="17">
        <v>2</v>
      </c>
      <c r="D221" s="17" t="s">
        <v>4</v>
      </c>
      <c r="E221" s="17">
        <v>21</v>
      </c>
      <c r="F221" s="17" t="s">
        <v>13</v>
      </c>
      <c r="G221" s="17">
        <v>211</v>
      </c>
      <c r="H221" s="23" t="s">
        <v>153</v>
      </c>
      <c r="I221" s="38" t="s">
        <v>62</v>
      </c>
      <c r="J221" s="24">
        <v>41641</v>
      </c>
      <c r="K221" s="24"/>
      <c r="L221" s="39">
        <v>1287.7</v>
      </c>
      <c r="M221" s="23" t="s">
        <v>224</v>
      </c>
      <c r="N221" s="40">
        <v>429.48</v>
      </c>
      <c r="O221" s="41">
        <v>0</v>
      </c>
      <c r="P221" s="23">
        <v>258</v>
      </c>
      <c r="Q221" s="23" t="s">
        <v>144</v>
      </c>
      <c r="R221" s="38" t="s">
        <v>150</v>
      </c>
      <c r="S221" s="42">
        <v>11055417000200</v>
      </c>
      <c r="T221" s="17">
        <v>2022</v>
      </c>
      <c r="U221" s="43" t="s">
        <v>231</v>
      </c>
      <c r="V221" s="43">
        <v>9</v>
      </c>
      <c r="W221" s="40">
        <v>92240.53</v>
      </c>
      <c r="X221" s="44" t="s">
        <v>211</v>
      </c>
      <c r="Y221" s="45"/>
      <c r="Z221" s="45"/>
      <c r="AA221" s="45"/>
      <c r="AB221" s="45" t="s">
        <v>174</v>
      </c>
      <c r="AC221" s="51">
        <v>8</v>
      </c>
      <c r="AD221" s="45"/>
      <c r="AE221" s="45" t="str">
        <f t="shared" si="8"/>
        <v>Neutro</v>
      </c>
    </row>
    <row r="222" spans="1:31" x14ac:dyDescent="0.25">
      <c r="A222" s="14" t="s">
        <v>268</v>
      </c>
      <c r="B222" s="12">
        <v>10112</v>
      </c>
      <c r="C222" s="12">
        <v>2</v>
      </c>
      <c r="D222" s="12" t="s">
        <v>4</v>
      </c>
      <c r="E222" s="12">
        <v>21</v>
      </c>
      <c r="F222" s="12" t="s">
        <v>13</v>
      </c>
      <c r="G222" s="12">
        <v>211</v>
      </c>
      <c r="H222" s="12" t="s">
        <v>141</v>
      </c>
      <c r="I222" s="14" t="s">
        <v>43</v>
      </c>
      <c r="J222" s="13">
        <v>38901</v>
      </c>
      <c r="K222" s="27"/>
      <c r="L222" s="28">
        <v>1634.8</v>
      </c>
      <c r="M222" s="12" t="s">
        <v>225</v>
      </c>
      <c r="N222" s="29">
        <v>957.39</v>
      </c>
      <c r="O222" s="3">
        <v>0</v>
      </c>
      <c r="P222" s="12" t="s">
        <v>2</v>
      </c>
      <c r="Q222" s="12" t="s">
        <v>145</v>
      </c>
      <c r="R222" s="14" t="s">
        <v>243</v>
      </c>
      <c r="S222" s="30">
        <v>11055417007181</v>
      </c>
      <c r="T222" s="12">
        <v>2022</v>
      </c>
      <c r="U222" s="12" t="s">
        <v>231</v>
      </c>
      <c r="V222" s="12">
        <v>9</v>
      </c>
      <c r="W222" s="29" t="s">
        <v>2</v>
      </c>
      <c r="X222" s="4"/>
      <c r="Y222" s="12"/>
      <c r="Z222" s="12"/>
      <c r="AA222" s="12"/>
      <c r="AB222" s="31" t="s">
        <v>174</v>
      </c>
      <c r="AC222" s="52">
        <v>8</v>
      </c>
      <c r="AD222" s="31" t="s">
        <v>177</v>
      </c>
      <c r="AE222" s="31" t="str">
        <f t="shared" si="8"/>
        <v>Neutro</v>
      </c>
    </row>
    <row r="223" spans="1:31" x14ac:dyDescent="0.25">
      <c r="A223" s="16" t="s">
        <v>268</v>
      </c>
      <c r="B223" s="17">
        <v>10112</v>
      </c>
      <c r="C223" s="17">
        <v>2</v>
      </c>
      <c r="D223" s="17" t="s">
        <v>4</v>
      </c>
      <c r="E223" s="17">
        <v>21</v>
      </c>
      <c r="F223" s="17" t="s">
        <v>13</v>
      </c>
      <c r="G223" s="17">
        <v>211</v>
      </c>
      <c r="H223" s="23" t="s">
        <v>153</v>
      </c>
      <c r="I223" s="38" t="s">
        <v>43</v>
      </c>
      <c r="J223" s="24">
        <v>38901</v>
      </c>
      <c r="K223" s="24">
        <v>44819</v>
      </c>
      <c r="L223" s="39">
        <v>1634.8</v>
      </c>
      <c r="M223" s="23" t="s">
        <v>225</v>
      </c>
      <c r="N223" s="40">
        <v>957.39</v>
      </c>
      <c r="O223" s="41">
        <v>0.14915890699437973</v>
      </c>
      <c r="P223" s="23">
        <v>600</v>
      </c>
      <c r="Q223" s="23" t="s">
        <v>144</v>
      </c>
      <c r="R223" s="38" t="s">
        <v>149</v>
      </c>
      <c r="S223" s="42">
        <v>11055417000181</v>
      </c>
      <c r="T223" s="17">
        <v>2022</v>
      </c>
      <c r="U223" s="43" t="s">
        <v>231</v>
      </c>
      <c r="V223" s="43">
        <v>9</v>
      </c>
      <c r="W223" s="40">
        <v>478869.11</v>
      </c>
      <c r="X223" s="44" t="s">
        <v>211</v>
      </c>
      <c r="Y223" s="45" t="s">
        <v>174</v>
      </c>
      <c r="Z223" s="45" t="s">
        <v>217</v>
      </c>
      <c r="AA223" s="45" t="s">
        <v>175</v>
      </c>
      <c r="AB223" s="45" t="s">
        <v>175</v>
      </c>
      <c r="AC223" s="51">
        <v>0</v>
      </c>
      <c r="AD223" s="45"/>
      <c r="AE223" s="45" t="str">
        <f t="shared" si="8"/>
        <v>Detrator</v>
      </c>
    </row>
    <row r="224" spans="1:31" x14ac:dyDescent="0.25">
      <c r="A224" s="16" t="s">
        <v>268</v>
      </c>
      <c r="B224" s="17">
        <v>10112</v>
      </c>
      <c r="C224" s="17">
        <v>2</v>
      </c>
      <c r="D224" s="17" t="s">
        <v>4</v>
      </c>
      <c r="E224" s="17">
        <v>21</v>
      </c>
      <c r="F224" s="17" t="s">
        <v>13</v>
      </c>
      <c r="G224" s="17">
        <v>211</v>
      </c>
      <c r="H224" s="23" t="s">
        <v>153</v>
      </c>
      <c r="I224" s="38" t="s">
        <v>257</v>
      </c>
      <c r="J224" s="24">
        <v>44809</v>
      </c>
      <c r="K224" s="20"/>
      <c r="L224" s="39">
        <v>1634.8</v>
      </c>
      <c r="M224" s="23" t="s">
        <v>224</v>
      </c>
      <c r="N224" s="40">
        <v>429.48</v>
      </c>
      <c r="O224" s="41">
        <v>0</v>
      </c>
      <c r="P224" s="23">
        <v>176</v>
      </c>
      <c r="Q224" s="23" t="s">
        <v>144</v>
      </c>
      <c r="R224" s="38" t="s">
        <v>149</v>
      </c>
      <c r="S224" s="42">
        <v>11055417000181</v>
      </c>
      <c r="T224" s="17">
        <v>2022</v>
      </c>
      <c r="U224" s="23" t="s">
        <v>236</v>
      </c>
      <c r="V224" s="23">
        <v>10</v>
      </c>
      <c r="W224" s="40">
        <v>63133.52</v>
      </c>
      <c r="X224" s="44" t="s">
        <v>211</v>
      </c>
      <c r="Y224" s="45"/>
      <c r="Z224" s="45"/>
      <c r="AA224" s="45"/>
      <c r="AB224" s="45" t="s">
        <v>174</v>
      </c>
      <c r="AC224" s="51">
        <v>8</v>
      </c>
      <c r="AD224" s="45"/>
      <c r="AE224" s="45" t="str">
        <f t="shared" si="8"/>
        <v>Neutro</v>
      </c>
    </row>
    <row r="225" spans="1:31" x14ac:dyDescent="0.25">
      <c r="A225" s="5" t="s">
        <v>268</v>
      </c>
      <c r="B225" s="6">
        <v>10112</v>
      </c>
      <c r="C225" s="6">
        <v>2</v>
      </c>
      <c r="D225" s="6" t="s">
        <v>4</v>
      </c>
      <c r="E225" s="6">
        <v>21</v>
      </c>
      <c r="F225" s="6" t="s">
        <v>13</v>
      </c>
      <c r="G225" s="6">
        <v>211</v>
      </c>
      <c r="H225" s="12" t="s">
        <v>153</v>
      </c>
      <c r="I225" s="14" t="s">
        <v>62</v>
      </c>
      <c r="J225" s="13">
        <v>41641</v>
      </c>
      <c r="K225" s="14"/>
      <c r="L225" s="28">
        <v>1287.7</v>
      </c>
      <c r="M225" s="12" t="s">
        <v>224</v>
      </c>
      <c r="N225" s="29">
        <v>429.48</v>
      </c>
      <c r="O225" s="3">
        <v>0</v>
      </c>
      <c r="P225" s="12">
        <v>258</v>
      </c>
      <c r="Q225" s="12" t="s">
        <v>144</v>
      </c>
      <c r="R225" s="14" t="s">
        <v>150</v>
      </c>
      <c r="S225" s="30">
        <v>11055417000200</v>
      </c>
      <c r="T225" s="6">
        <v>2022</v>
      </c>
      <c r="U225" s="26" t="s">
        <v>236</v>
      </c>
      <c r="V225" s="26">
        <v>10</v>
      </c>
      <c r="W225" s="29">
        <v>92240.53</v>
      </c>
      <c r="X225" s="4" t="s">
        <v>211</v>
      </c>
      <c r="Y225" s="31"/>
      <c r="Z225" s="31"/>
      <c r="AA225" s="31"/>
      <c r="AB225" s="31" t="s">
        <v>174</v>
      </c>
      <c r="AC225" s="52">
        <v>9</v>
      </c>
      <c r="AD225" s="31"/>
      <c r="AE225" s="31" t="str">
        <f t="shared" si="8"/>
        <v>Promotor</v>
      </c>
    </row>
    <row r="226" spans="1:31" x14ac:dyDescent="0.25">
      <c r="A226" s="16" t="s">
        <v>268</v>
      </c>
      <c r="B226" s="17">
        <v>10112</v>
      </c>
      <c r="C226" s="17">
        <v>2</v>
      </c>
      <c r="D226" s="17" t="s">
        <v>4</v>
      </c>
      <c r="E226" s="17">
        <v>21</v>
      </c>
      <c r="F226" s="17" t="s">
        <v>13</v>
      </c>
      <c r="G226" s="17">
        <v>211</v>
      </c>
      <c r="H226" s="23" t="s">
        <v>141</v>
      </c>
      <c r="I226" s="38" t="s">
        <v>257</v>
      </c>
      <c r="J226" s="24">
        <v>44809</v>
      </c>
      <c r="K226" s="20"/>
      <c r="L226" s="39">
        <v>1634.8</v>
      </c>
      <c r="M226" s="23" t="s">
        <v>225</v>
      </c>
      <c r="N226" s="40">
        <v>957.39</v>
      </c>
      <c r="O226" s="41">
        <v>0</v>
      </c>
      <c r="P226" s="23" t="s">
        <v>2</v>
      </c>
      <c r="Q226" s="23" t="s">
        <v>145</v>
      </c>
      <c r="R226" s="38" t="s">
        <v>149</v>
      </c>
      <c r="S226" s="42">
        <v>11055417000181</v>
      </c>
      <c r="T226" s="17">
        <v>2022</v>
      </c>
      <c r="U226" s="23" t="s">
        <v>236</v>
      </c>
      <c r="V226" s="23">
        <v>10</v>
      </c>
      <c r="W226" s="40" t="s">
        <v>2</v>
      </c>
      <c r="X226" s="44"/>
      <c r="Y226" s="45"/>
      <c r="Z226" s="45"/>
      <c r="AA226" s="45"/>
      <c r="AB226" s="45" t="s">
        <v>174</v>
      </c>
      <c r="AC226" s="51">
        <v>7</v>
      </c>
      <c r="AD226" s="45"/>
      <c r="AE226" s="45" t="str">
        <f t="shared" si="8"/>
        <v>Neutro</v>
      </c>
    </row>
    <row r="227" spans="1:31" x14ac:dyDescent="0.25">
      <c r="A227" s="5" t="s">
        <v>268</v>
      </c>
      <c r="B227" s="6">
        <v>10112</v>
      </c>
      <c r="C227" s="6">
        <v>2</v>
      </c>
      <c r="D227" s="6" t="s">
        <v>4</v>
      </c>
      <c r="E227" s="6">
        <v>21</v>
      </c>
      <c r="F227" s="6" t="s">
        <v>13</v>
      </c>
      <c r="G227" s="6">
        <v>211</v>
      </c>
      <c r="H227" s="12" t="s">
        <v>153</v>
      </c>
      <c r="I227" s="14" t="s">
        <v>257</v>
      </c>
      <c r="J227" s="13">
        <v>44809</v>
      </c>
      <c r="K227" s="14"/>
      <c r="L227" s="28">
        <v>1634.8</v>
      </c>
      <c r="M227" s="12" t="s">
        <v>225</v>
      </c>
      <c r="N227" s="29">
        <v>957.39</v>
      </c>
      <c r="O227" s="3">
        <v>0.14915890699437973</v>
      </c>
      <c r="P227" s="12">
        <v>744</v>
      </c>
      <c r="Q227" s="12" t="s">
        <v>144</v>
      </c>
      <c r="R227" s="14" t="s">
        <v>149</v>
      </c>
      <c r="S227" s="30">
        <v>11055417000181</v>
      </c>
      <c r="T227" s="6">
        <v>2022</v>
      </c>
      <c r="U227" s="26" t="s">
        <v>236</v>
      </c>
      <c r="V227" s="26">
        <v>10</v>
      </c>
      <c r="W227" s="29">
        <v>594017.02</v>
      </c>
      <c r="X227" s="4" t="s">
        <v>211</v>
      </c>
      <c r="Y227" s="31" t="s">
        <v>174</v>
      </c>
      <c r="Z227" s="31" t="s">
        <v>217</v>
      </c>
      <c r="AA227" s="31" t="s">
        <v>175</v>
      </c>
      <c r="AB227" s="31" t="s">
        <v>175</v>
      </c>
      <c r="AC227" s="52">
        <v>1</v>
      </c>
      <c r="AD227" s="31"/>
      <c r="AE227" s="31" t="str">
        <f t="shared" si="8"/>
        <v>Detrator</v>
      </c>
    </row>
    <row r="228" spans="1:31" x14ac:dyDescent="0.25">
      <c r="A228" s="14" t="s">
        <v>268</v>
      </c>
      <c r="B228" s="12">
        <v>10112</v>
      </c>
      <c r="C228" s="12">
        <v>2</v>
      </c>
      <c r="D228" s="12" t="s">
        <v>4</v>
      </c>
      <c r="E228" s="12">
        <v>21</v>
      </c>
      <c r="F228" s="12" t="s">
        <v>13</v>
      </c>
      <c r="G228" s="12">
        <v>211</v>
      </c>
      <c r="H228" s="12" t="s">
        <v>153</v>
      </c>
      <c r="I228" s="14" t="s">
        <v>257</v>
      </c>
      <c r="J228" s="13">
        <v>44809</v>
      </c>
      <c r="K228" s="27"/>
      <c r="L228" s="28">
        <v>1634.8</v>
      </c>
      <c r="M228" s="12" t="s">
        <v>224</v>
      </c>
      <c r="N228" s="29">
        <v>390.44</v>
      </c>
      <c r="O228" s="3">
        <v>0</v>
      </c>
      <c r="P228" s="12">
        <v>64</v>
      </c>
      <c r="Q228" s="12" t="s">
        <v>144</v>
      </c>
      <c r="R228" s="14" t="s">
        <v>149</v>
      </c>
      <c r="S228" s="30">
        <v>11055417000181</v>
      </c>
      <c r="T228" s="12">
        <v>2022</v>
      </c>
      <c r="U228" s="12" t="s">
        <v>233</v>
      </c>
      <c r="V228" s="12">
        <v>11</v>
      </c>
      <c r="W228" s="29">
        <v>21083.55</v>
      </c>
      <c r="X228" s="4" t="s">
        <v>211</v>
      </c>
      <c r="Y228" s="12"/>
      <c r="Z228" s="12"/>
      <c r="AA228" s="12"/>
      <c r="AB228" s="31" t="s">
        <v>174</v>
      </c>
      <c r="AC228" s="52">
        <v>9</v>
      </c>
      <c r="AD228" s="31"/>
      <c r="AE228" s="31" t="str">
        <f t="shared" si="8"/>
        <v>Promotor</v>
      </c>
    </row>
    <row r="229" spans="1:31" x14ac:dyDescent="0.25">
      <c r="A229" s="16" t="s">
        <v>268</v>
      </c>
      <c r="B229" s="17">
        <v>10112</v>
      </c>
      <c r="C229" s="17">
        <v>2</v>
      </c>
      <c r="D229" s="17" t="s">
        <v>4</v>
      </c>
      <c r="E229" s="17">
        <v>21</v>
      </c>
      <c r="F229" s="17" t="s">
        <v>13</v>
      </c>
      <c r="G229" s="17">
        <v>211</v>
      </c>
      <c r="H229" s="23" t="s">
        <v>153</v>
      </c>
      <c r="I229" s="38" t="s">
        <v>62</v>
      </c>
      <c r="J229" s="24">
        <v>41641</v>
      </c>
      <c r="K229" s="24"/>
      <c r="L229" s="39">
        <v>1287.7</v>
      </c>
      <c r="M229" s="23" t="s">
        <v>224</v>
      </c>
      <c r="N229" s="40">
        <v>390.44</v>
      </c>
      <c r="O229" s="41">
        <v>0</v>
      </c>
      <c r="P229" s="23">
        <v>270</v>
      </c>
      <c r="Q229" s="23" t="s">
        <v>144</v>
      </c>
      <c r="R229" s="38" t="s">
        <v>150</v>
      </c>
      <c r="S229" s="42">
        <v>11055417000200</v>
      </c>
      <c r="T229" s="17">
        <v>2022</v>
      </c>
      <c r="U229" s="43" t="s">
        <v>233</v>
      </c>
      <c r="V229" s="43">
        <v>11</v>
      </c>
      <c r="W229" s="40">
        <v>87848.12</v>
      </c>
      <c r="X229" s="44" t="s">
        <v>211</v>
      </c>
      <c r="Y229" s="45"/>
      <c r="Z229" s="45"/>
      <c r="AA229" s="45"/>
      <c r="AB229" s="45" t="s">
        <v>174</v>
      </c>
      <c r="AC229" s="51">
        <v>7</v>
      </c>
      <c r="AD229" s="45"/>
      <c r="AE229" s="45" t="str">
        <f t="shared" si="8"/>
        <v>Neutro</v>
      </c>
    </row>
    <row r="230" spans="1:31" x14ac:dyDescent="0.25">
      <c r="A230" s="14" t="s">
        <v>268</v>
      </c>
      <c r="B230" s="12">
        <v>10112</v>
      </c>
      <c r="C230" s="12">
        <v>2</v>
      </c>
      <c r="D230" s="12" t="s">
        <v>4</v>
      </c>
      <c r="E230" s="12">
        <v>21</v>
      </c>
      <c r="F230" s="12" t="s">
        <v>13</v>
      </c>
      <c r="G230" s="12">
        <v>211</v>
      </c>
      <c r="H230" s="12" t="s">
        <v>141</v>
      </c>
      <c r="I230" s="14" t="s">
        <v>257</v>
      </c>
      <c r="J230" s="13">
        <v>44809</v>
      </c>
      <c r="K230" s="27"/>
      <c r="L230" s="28">
        <v>1634.8</v>
      </c>
      <c r="M230" s="12" t="s">
        <v>225</v>
      </c>
      <c r="N230" s="29">
        <v>870.35</v>
      </c>
      <c r="O230" s="3">
        <v>0</v>
      </c>
      <c r="P230" s="12" t="s">
        <v>2</v>
      </c>
      <c r="Q230" s="12" t="s">
        <v>145</v>
      </c>
      <c r="R230" s="14" t="s">
        <v>149</v>
      </c>
      <c r="S230" s="30">
        <v>11055417000181</v>
      </c>
      <c r="T230" s="12">
        <v>2022</v>
      </c>
      <c r="U230" s="12" t="s">
        <v>233</v>
      </c>
      <c r="V230" s="12">
        <v>11</v>
      </c>
      <c r="W230" s="29" t="s">
        <v>2</v>
      </c>
      <c r="X230" s="4"/>
      <c r="Y230" s="12"/>
      <c r="Z230" s="12"/>
      <c r="AA230" s="12"/>
      <c r="AB230" s="31" t="s">
        <v>174</v>
      </c>
      <c r="AC230" s="52">
        <v>8</v>
      </c>
      <c r="AD230" s="31"/>
      <c r="AE230" s="31" t="str">
        <f t="shared" si="8"/>
        <v>Neutro</v>
      </c>
    </row>
    <row r="231" spans="1:31" x14ac:dyDescent="0.25">
      <c r="A231" s="16" t="s">
        <v>268</v>
      </c>
      <c r="B231" s="17">
        <v>10112</v>
      </c>
      <c r="C231" s="17">
        <v>2</v>
      </c>
      <c r="D231" s="17" t="s">
        <v>4</v>
      </c>
      <c r="E231" s="17">
        <v>21</v>
      </c>
      <c r="F231" s="17" t="s">
        <v>13</v>
      </c>
      <c r="G231" s="17">
        <v>211</v>
      </c>
      <c r="H231" s="23" t="s">
        <v>153</v>
      </c>
      <c r="I231" s="38" t="s">
        <v>257</v>
      </c>
      <c r="J231" s="24">
        <v>44809</v>
      </c>
      <c r="K231" s="24"/>
      <c r="L231" s="39">
        <v>1634.8</v>
      </c>
      <c r="M231" s="23" t="s">
        <v>225</v>
      </c>
      <c r="N231" s="40">
        <v>870.35</v>
      </c>
      <c r="O231" s="41">
        <v>0.14915890699437973</v>
      </c>
      <c r="P231" s="23">
        <v>629</v>
      </c>
      <c r="Q231" s="23" t="s">
        <v>144</v>
      </c>
      <c r="R231" s="38" t="s">
        <v>149</v>
      </c>
      <c r="S231" s="42">
        <v>11055417000181</v>
      </c>
      <c r="T231" s="17">
        <v>2022</v>
      </c>
      <c r="U231" s="43" t="s">
        <v>233</v>
      </c>
      <c r="V231" s="43">
        <v>11</v>
      </c>
      <c r="W231" s="40">
        <v>456065.82</v>
      </c>
      <c r="X231" s="44" t="s">
        <v>211</v>
      </c>
      <c r="Y231" s="45" t="s">
        <v>174</v>
      </c>
      <c r="Z231" s="45" t="s">
        <v>217</v>
      </c>
      <c r="AA231" s="45" t="s">
        <v>175</v>
      </c>
      <c r="AB231" s="45" t="s">
        <v>175</v>
      </c>
      <c r="AC231" s="51">
        <v>2</v>
      </c>
      <c r="AD231" s="45"/>
      <c r="AE231" s="45" t="str">
        <f t="shared" si="8"/>
        <v>Detrator</v>
      </c>
    </row>
    <row r="232" spans="1:31" x14ac:dyDescent="0.25">
      <c r="A232" s="16" t="s">
        <v>268</v>
      </c>
      <c r="B232" s="17">
        <v>10112</v>
      </c>
      <c r="C232" s="17">
        <v>2</v>
      </c>
      <c r="D232" s="17" t="s">
        <v>4</v>
      </c>
      <c r="E232" s="17">
        <v>21</v>
      </c>
      <c r="F232" s="17" t="s">
        <v>13</v>
      </c>
      <c r="G232" s="17">
        <v>211</v>
      </c>
      <c r="H232" s="23" t="s">
        <v>153</v>
      </c>
      <c r="I232" s="60" t="s">
        <v>257</v>
      </c>
      <c r="J232" s="24">
        <v>44809</v>
      </c>
      <c r="K232" s="20"/>
      <c r="L232" s="39">
        <v>1634.8</v>
      </c>
      <c r="M232" s="23" t="s">
        <v>224</v>
      </c>
      <c r="N232" s="40">
        <v>390.44</v>
      </c>
      <c r="O232" s="41">
        <v>0</v>
      </c>
      <c r="P232" s="23">
        <v>185</v>
      </c>
      <c r="Q232" s="23" t="s">
        <v>144</v>
      </c>
      <c r="R232" s="38" t="s">
        <v>149</v>
      </c>
      <c r="S232" s="42">
        <v>11055417000181</v>
      </c>
      <c r="T232" s="17">
        <v>2022</v>
      </c>
      <c r="U232" s="43" t="s">
        <v>234</v>
      </c>
      <c r="V232" s="43">
        <v>12</v>
      </c>
      <c r="W232" s="40">
        <v>60127.16</v>
      </c>
      <c r="X232" s="44" t="s">
        <v>211</v>
      </c>
      <c r="Y232" s="45"/>
      <c r="Z232" s="45"/>
      <c r="AA232" s="45"/>
      <c r="AB232" s="45" t="s">
        <v>174</v>
      </c>
      <c r="AC232" s="51">
        <v>6</v>
      </c>
      <c r="AD232" s="45"/>
      <c r="AE232" s="45" t="str">
        <f t="shared" si="8"/>
        <v>Detrator</v>
      </c>
    </row>
    <row r="233" spans="1:31" x14ac:dyDescent="0.25">
      <c r="A233" s="5" t="s">
        <v>268</v>
      </c>
      <c r="B233" s="6">
        <v>10112</v>
      </c>
      <c r="C233" s="6">
        <v>2</v>
      </c>
      <c r="D233" s="6" t="s">
        <v>4</v>
      </c>
      <c r="E233" s="6">
        <v>21</v>
      </c>
      <c r="F233" s="6" t="s">
        <v>13</v>
      </c>
      <c r="G233" s="6">
        <v>211</v>
      </c>
      <c r="H233" s="12" t="s">
        <v>153</v>
      </c>
      <c r="I233" s="14" t="s">
        <v>62</v>
      </c>
      <c r="J233" s="13">
        <v>41641</v>
      </c>
      <c r="K233" s="14"/>
      <c r="L233" s="28">
        <v>1287.7</v>
      </c>
      <c r="M233" s="12" t="s">
        <v>224</v>
      </c>
      <c r="N233" s="29">
        <v>390.44</v>
      </c>
      <c r="O233" s="3">
        <v>0</v>
      </c>
      <c r="P233" s="12">
        <v>270</v>
      </c>
      <c r="Q233" s="12" t="s">
        <v>144</v>
      </c>
      <c r="R233" s="14" t="s">
        <v>150</v>
      </c>
      <c r="S233" s="30">
        <v>11055417000200</v>
      </c>
      <c r="T233" s="6">
        <v>2022</v>
      </c>
      <c r="U233" s="26" t="s">
        <v>234</v>
      </c>
      <c r="V233" s="26">
        <v>12</v>
      </c>
      <c r="W233" s="29">
        <v>87848.12</v>
      </c>
      <c r="X233" s="4" t="s">
        <v>211</v>
      </c>
      <c r="Y233" s="31"/>
      <c r="Z233" s="31"/>
      <c r="AA233" s="31"/>
      <c r="AB233" s="31" t="s">
        <v>174</v>
      </c>
      <c r="AC233" s="52">
        <v>7</v>
      </c>
      <c r="AD233" s="31"/>
      <c r="AE233" s="31" t="str">
        <f t="shared" si="8"/>
        <v>Neutro</v>
      </c>
    </row>
    <row r="234" spans="1:31" x14ac:dyDescent="0.25">
      <c r="A234" s="16" t="s">
        <v>268</v>
      </c>
      <c r="B234" s="17">
        <v>10112</v>
      </c>
      <c r="C234" s="17">
        <v>2</v>
      </c>
      <c r="D234" s="17" t="s">
        <v>4</v>
      </c>
      <c r="E234" s="17">
        <v>21</v>
      </c>
      <c r="F234" s="17" t="s">
        <v>13</v>
      </c>
      <c r="G234" s="17">
        <v>211</v>
      </c>
      <c r="H234" s="23" t="s">
        <v>141</v>
      </c>
      <c r="I234" s="38" t="s">
        <v>257</v>
      </c>
      <c r="J234" s="24">
        <v>44809</v>
      </c>
      <c r="K234" s="20"/>
      <c r="L234" s="39">
        <v>1634.8</v>
      </c>
      <c r="M234" s="23" t="s">
        <v>225</v>
      </c>
      <c r="N234" s="40">
        <v>870.35</v>
      </c>
      <c r="O234" s="41">
        <v>0</v>
      </c>
      <c r="P234" s="23" t="s">
        <v>2</v>
      </c>
      <c r="Q234" s="23" t="s">
        <v>145</v>
      </c>
      <c r="R234" s="38" t="s">
        <v>149</v>
      </c>
      <c r="S234" s="42">
        <v>11055417000181</v>
      </c>
      <c r="T234" s="17">
        <v>2022</v>
      </c>
      <c r="U234" s="43" t="s">
        <v>234</v>
      </c>
      <c r="V234" s="43">
        <v>12</v>
      </c>
      <c r="W234" s="40" t="s">
        <v>2</v>
      </c>
      <c r="X234" s="44"/>
      <c r="Y234" s="45"/>
      <c r="Z234" s="45"/>
      <c r="AA234" s="45"/>
      <c r="AB234" s="45" t="s">
        <v>174</v>
      </c>
      <c r="AC234" s="51">
        <v>8</v>
      </c>
      <c r="AD234" s="45"/>
      <c r="AE234" s="45" t="str">
        <f t="shared" si="8"/>
        <v>Neutro</v>
      </c>
    </row>
    <row r="235" spans="1:31" x14ac:dyDescent="0.25">
      <c r="A235" s="5" t="s">
        <v>268</v>
      </c>
      <c r="B235" s="6">
        <v>10112</v>
      </c>
      <c r="C235" s="6">
        <v>2</v>
      </c>
      <c r="D235" s="6" t="s">
        <v>4</v>
      </c>
      <c r="E235" s="6">
        <v>21</v>
      </c>
      <c r="F235" s="6" t="s">
        <v>13</v>
      </c>
      <c r="G235" s="6">
        <v>211</v>
      </c>
      <c r="H235" s="12" t="s">
        <v>153</v>
      </c>
      <c r="I235" s="14" t="s">
        <v>257</v>
      </c>
      <c r="J235" s="13">
        <v>44809</v>
      </c>
      <c r="K235" s="14"/>
      <c r="L235" s="28">
        <v>1634.8</v>
      </c>
      <c r="M235" s="12" t="s">
        <v>225</v>
      </c>
      <c r="N235" s="29">
        <v>870.35</v>
      </c>
      <c r="O235" s="3">
        <v>0.14915890699437973</v>
      </c>
      <c r="P235" s="12">
        <v>780</v>
      </c>
      <c r="Q235" s="12" t="s">
        <v>144</v>
      </c>
      <c r="R235" s="14" t="s">
        <v>149</v>
      </c>
      <c r="S235" s="30">
        <v>11055417000181</v>
      </c>
      <c r="T235" s="6">
        <v>2022</v>
      </c>
      <c r="U235" s="26" t="s">
        <v>234</v>
      </c>
      <c r="V235" s="26">
        <v>12</v>
      </c>
      <c r="W235" s="29">
        <v>565730.49</v>
      </c>
      <c r="X235" s="4" t="s">
        <v>211</v>
      </c>
      <c r="Y235" s="31" t="s">
        <v>174</v>
      </c>
      <c r="Z235" s="31" t="s">
        <v>217</v>
      </c>
      <c r="AA235" s="31" t="s">
        <v>175</v>
      </c>
      <c r="AB235" s="31" t="s">
        <v>175</v>
      </c>
      <c r="AC235" s="52">
        <v>9</v>
      </c>
      <c r="AD235" s="31"/>
      <c r="AE235" s="31" t="str">
        <f t="shared" si="8"/>
        <v>Promotor</v>
      </c>
    </row>
    <row r="236" spans="1:31" x14ac:dyDescent="0.25">
      <c r="A236" s="14" t="s">
        <v>268</v>
      </c>
      <c r="B236" s="12">
        <v>10112</v>
      </c>
      <c r="C236" s="12">
        <v>2</v>
      </c>
      <c r="D236" s="12" t="s">
        <v>4</v>
      </c>
      <c r="E236" s="12">
        <v>21</v>
      </c>
      <c r="F236" s="12" t="s">
        <v>13</v>
      </c>
      <c r="G236" s="12">
        <v>211</v>
      </c>
      <c r="H236" s="12" t="s">
        <v>153</v>
      </c>
      <c r="I236" s="14" t="s">
        <v>257</v>
      </c>
      <c r="J236" s="13">
        <v>44809</v>
      </c>
      <c r="K236" s="27"/>
      <c r="L236" s="28">
        <v>1634.8</v>
      </c>
      <c r="M236" s="12" t="s">
        <v>224</v>
      </c>
      <c r="N236" s="29">
        <v>429.48</v>
      </c>
      <c r="O236" s="3">
        <v>0</v>
      </c>
      <c r="P236" s="12">
        <v>47</v>
      </c>
      <c r="Q236" s="12" t="s">
        <v>144</v>
      </c>
      <c r="R236" s="14" t="s">
        <v>149</v>
      </c>
      <c r="S236" s="30">
        <v>11055417000181</v>
      </c>
      <c r="T236" s="12">
        <v>2023</v>
      </c>
      <c r="U236" s="26" t="s">
        <v>179</v>
      </c>
      <c r="V236" s="26">
        <v>1</v>
      </c>
      <c r="W236" s="29">
        <v>16866.84</v>
      </c>
      <c r="X236" s="4" t="s">
        <v>211</v>
      </c>
      <c r="Y236" s="12"/>
      <c r="Z236" s="12"/>
      <c r="AA236" s="12"/>
      <c r="AB236" s="31" t="s">
        <v>174</v>
      </c>
      <c r="AC236" s="52">
        <v>7</v>
      </c>
      <c r="AD236" s="31"/>
      <c r="AE236" s="31" t="str">
        <f t="shared" si="8"/>
        <v>Neutro</v>
      </c>
    </row>
    <row r="237" spans="1:31" x14ac:dyDescent="0.25">
      <c r="A237" s="16" t="s">
        <v>268</v>
      </c>
      <c r="B237" s="17">
        <v>10112</v>
      </c>
      <c r="C237" s="17">
        <v>2</v>
      </c>
      <c r="D237" s="17" t="s">
        <v>4</v>
      </c>
      <c r="E237" s="17">
        <v>21</v>
      </c>
      <c r="F237" s="17" t="s">
        <v>13</v>
      </c>
      <c r="G237" s="17">
        <v>211</v>
      </c>
      <c r="H237" s="23" t="s">
        <v>153</v>
      </c>
      <c r="I237" s="38" t="s">
        <v>62</v>
      </c>
      <c r="J237" s="24">
        <v>41641</v>
      </c>
      <c r="K237" s="24"/>
      <c r="L237" s="39">
        <v>1287.7</v>
      </c>
      <c r="M237" s="23" t="s">
        <v>224</v>
      </c>
      <c r="N237" s="40">
        <v>429.48</v>
      </c>
      <c r="O237" s="41">
        <v>0</v>
      </c>
      <c r="P237" s="23">
        <v>197</v>
      </c>
      <c r="Q237" s="23" t="s">
        <v>144</v>
      </c>
      <c r="R237" s="38" t="s">
        <v>150</v>
      </c>
      <c r="S237" s="42">
        <v>11055417000200</v>
      </c>
      <c r="T237" s="17">
        <v>2023</v>
      </c>
      <c r="U237" s="43" t="s">
        <v>179</v>
      </c>
      <c r="V237" s="43">
        <v>1</v>
      </c>
      <c r="W237" s="40">
        <v>70278.5</v>
      </c>
      <c r="X237" s="44" t="s">
        <v>211</v>
      </c>
      <c r="Y237" s="45"/>
      <c r="Z237" s="45"/>
      <c r="AA237" s="45"/>
      <c r="AB237" s="45" t="s">
        <v>174</v>
      </c>
      <c r="AC237" s="51">
        <v>7</v>
      </c>
      <c r="AD237" s="45"/>
      <c r="AE237" s="45" t="str">
        <f t="shared" si="8"/>
        <v>Neutro</v>
      </c>
    </row>
    <row r="238" spans="1:31" x14ac:dyDescent="0.25">
      <c r="A238" s="14" t="s">
        <v>268</v>
      </c>
      <c r="B238" s="12">
        <v>10112</v>
      </c>
      <c r="C238" s="12">
        <v>2</v>
      </c>
      <c r="D238" s="12" t="s">
        <v>4</v>
      </c>
      <c r="E238" s="12">
        <v>21</v>
      </c>
      <c r="F238" s="12" t="s">
        <v>13</v>
      </c>
      <c r="G238" s="12">
        <v>211</v>
      </c>
      <c r="H238" s="12" t="s">
        <v>141</v>
      </c>
      <c r="I238" s="14" t="s">
        <v>257</v>
      </c>
      <c r="J238" s="13">
        <v>44809</v>
      </c>
      <c r="K238" s="27"/>
      <c r="L238" s="28">
        <v>1634.8</v>
      </c>
      <c r="M238" s="12" t="s">
        <v>225</v>
      </c>
      <c r="N238" s="29">
        <v>957.39</v>
      </c>
      <c r="O238" s="3">
        <v>0</v>
      </c>
      <c r="P238" s="12" t="s">
        <v>2</v>
      </c>
      <c r="Q238" s="12" t="s">
        <v>145</v>
      </c>
      <c r="R238" s="14" t="s">
        <v>149</v>
      </c>
      <c r="S238" s="30">
        <v>11055417000181</v>
      </c>
      <c r="T238" s="12">
        <v>2023</v>
      </c>
      <c r="U238" s="26" t="s">
        <v>179</v>
      </c>
      <c r="V238" s="26">
        <v>1</v>
      </c>
      <c r="W238" s="29" t="s">
        <v>2</v>
      </c>
      <c r="X238" s="4"/>
      <c r="Y238" s="12"/>
      <c r="Z238" s="12"/>
      <c r="AA238" s="12"/>
      <c r="AB238" s="31" t="s">
        <v>174</v>
      </c>
      <c r="AC238" s="52">
        <v>8</v>
      </c>
      <c r="AD238" s="31"/>
      <c r="AE238" s="31" t="str">
        <f t="shared" si="8"/>
        <v>Neutro</v>
      </c>
    </row>
    <row r="239" spans="1:31" x14ac:dyDescent="0.25">
      <c r="A239" s="16" t="s">
        <v>268</v>
      </c>
      <c r="B239" s="17">
        <v>10112</v>
      </c>
      <c r="C239" s="17">
        <v>2</v>
      </c>
      <c r="D239" s="17" t="s">
        <v>4</v>
      </c>
      <c r="E239" s="17">
        <v>21</v>
      </c>
      <c r="F239" s="17" t="s">
        <v>13</v>
      </c>
      <c r="G239" s="17">
        <v>211</v>
      </c>
      <c r="H239" s="23" t="s">
        <v>153</v>
      </c>
      <c r="I239" s="38" t="s">
        <v>257</v>
      </c>
      <c r="J239" s="24">
        <v>44809</v>
      </c>
      <c r="K239" s="24"/>
      <c r="L239" s="39">
        <v>1634.8</v>
      </c>
      <c r="M239" s="23" t="s">
        <v>225</v>
      </c>
      <c r="N239" s="40">
        <v>957.39</v>
      </c>
      <c r="O239" s="41">
        <v>0.14915890699437973</v>
      </c>
      <c r="P239" s="23">
        <v>457</v>
      </c>
      <c r="Q239" s="23" t="s">
        <v>144</v>
      </c>
      <c r="R239" s="38" t="s">
        <v>149</v>
      </c>
      <c r="S239" s="42">
        <v>11055417000181</v>
      </c>
      <c r="T239" s="17">
        <v>2023</v>
      </c>
      <c r="U239" s="43" t="s">
        <v>179</v>
      </c>
      <c r="V239" s="43">
        <v>1</v>
      </c>
      <c r="W239" s="40">
        <v>364852.66</v>
      </c>
      <c r="X239" s="44" t="s">
        <v>211</v>
      </c>
      <c r="Y239" s="45" t="s">
        <v>174</v>
      </c>
      <c r="Z239" s="45" t="s">
        <v>217</v>
      </c>
      <c r="AA239" s="45" t="s">
        <v>175</v>
      </c>
      <c r="AB239" s="45" t="s">
        <v>175</v>
      </c>
      <c r="AC239" s="51">
        <v>4</v>
      </c>
      <c r="AD239" s="45"/>
      <c r="AE239" s="45" t="str">
        <f t="shared" si="8"/>
        <v>Detrator</v>
      </c>
    </row>
    <row r="240" spans="1:31" x14ac:dyDescent="0.25">
      <c r="A240" s="16" t="s">
        <v>268</v>
      </c>
      <c r="B240" s="17">
        <v>10112</v>
      </c>
      <c r="C240" s="17">
        <v>2</v>
      </c>
      <c r="D240" s="17" t="s">
        <v>4</v>
      </c>
      <c r="E240" s="17">
        <v>21</v>
      </c>
      <c r="F240" s="17" t="s">
        <v>13</v>
      </c>
      <c r="G240" s="17">
        <v>211</v>
      </c>
      <c r="H240" s="23" t="s">
        <v>153</v>
      </c>
      <c r="I240" s="38" t="s">
        <v>257</v>
      </c>
      <c r="J240" s="24">
        <v>44809</v>
      </c>
      <c r="K240" s="20"/>
      <c r="L240" s="39">
        <v>1634.8</v>
      </c>
      <c r="M240" s="23" t="s">
        <v>224</v>
      </c>
      <c r="N240" s="40">
        <v>429.48</v>
      </c>
      <c r="O240" s="41">
        <v>0</v>
      </c>
      <c r="P240" s="23">
        <v>135</v>
      </c>
      <c r="Q240" s="23" t="s">
        <v>144</v>
      </c>
      <c r="R240" s="38" t="s">
        <v>149</v>
      </c>
      <c r="S240" s="42">
        <v>11055417000181</v>
      </c>
      <c r="T240" s="17">
        <v>2023</v>
      </c>
      <c r="U240" s="43" t="s">
        <v>180</v>
      </c>
      <c r="V240" s="43">
        <v>2</v>
      </c>
      <c r="W240" s="40">
        <v>48101.73</v>
      </c>
      <c r="X240" s="44" t="s">
        <v>211</v>
      </c>
      <c r="Y240" s="45"/>
      <c r="Z240" s="45"/>
      <c r="AA240" s="45"/>
      <c r="AB240" s="45" t="s">
        <v>174</v>
      </c>
      <c r="AC240" s="51">
        <v>7</v>
      </c>
      <c r="AD240" s="45"/>
      <c r="AE240" s="45" t="str">
        <f t="shared" si="8"/>
        <v>Neutro</v>
      </c>
    </row>
    <row r="241" spans="1:31" x14ac:dyDescent="0.25">
      <c r="A241" s="5" t="s">
        <v>268</v>
      </c>
      <c r="B241" s="6">
        <v>10112</v>
      </c>
      <c r="C241" s="6">
        <v>2</v>
      </c>
      <c r="D241" s="6" t="s">
        <v>4</v>
      </c>
      <c r="E241" s="6">
        <v>21</v>
      </c>
      <c r="F241" s="6" t="s">
        <v>13</v>
      </c>
      <c r="G241" s="6">
        <v>211</v>
      </c>
      <c r="H241" s="12" t="s">
        <v>153</v>
      </c>
      <c r="I241" s="14" t="s">
        <v>62</v>
      </c>
      <c r="J241" s="13">
        <v>41641</v>
      </c>
      <c r="K241" s="14"/>
      <c r="L241" s="28">
        <v>1287.7</v>
      </c>
      <c r="M241" s="12" t="s">
        <v>224</v>
      </c>
      <c r="N241" s="29">
        <v>429.48</v>
      </c>
      <c r="O241" s="3">
        <v>0</v>
      </c>
      <c r="P241" s="12">
        <v>197</v>
      </c>
      <c r="Q241" s="12" t="s">
        <v>144</v>
      </c>
      <c r="R241" s="14" t="s">
        <v>150</v>
      </c>
      <c r="S241" s="30">
        <v>11055417000200</v>
      </c>
      <c r="T241" s="6">
        <v>2023</v>
      </c>
      <c r="U241" s="26" t="s">
        <v>180</v>
      </c>
      <c r="V241" s="26">
        <v>2</v>
      </c>
      <c r="W241" s="29">
        <v>70278.5</v>
      </c>
      <c r="X241" s="4" t="s">
        <v>211</v>
      </c>
      <c r="Y241" s="31"/>
      <c r="Z241" s="31"/>
      <c r="AA241" s="31"/>
      <c r="AB241" s="31" t="s">
        <v>174</v>
      </c>
      <c r="AC241" s="52">
        <v>7</v>
      </c>
      <c r="AD241" s="31"/>
      <c r="AE241" s="31" t="str">
        <f t="shared" si="8"/>
        <v>Neutro</v>
      </c>
    </row>
    <row r="242" spans="1:31" x14ac:dyDescent="0.25">
      <c r="A242" s="16" t="s">
        <v>268</v>
      </c>
      <c r="B242" s="17">
        <v>10112</v>
      </c>
      <c r="C242" s="17">
        <v>2</v>
      </c>
      <c r="D242" s="17" t="s">
        <v>4</v>
      </c>
      <c r="E242" s="17">
        <v>21</v>
      </c>
      <c r="F242" s="17" t="s">
        <v>13</v>
      </c>
      <c r="G242" s="17">
        <v>211</v>
      </c>
      <c r="H242" s="23" t="s">
        <v>141</v>
      </c>
      <c r="I242" s="38" t="s">
        <v>257</v>
      </c>
      <c r="J242" s="20">
        <v>44809</v>
      </c>
      <c r="K242" s="20"/>
      <c r="L242" s="39">
        <v>1634.8</v>
      </c>
      <c r="M242" s="23" t="s">
        <v>225</v>
      </c>
      <c r="N242" s="40">
        <v>957.39</v>
      </c>
      <c r="O242" s="41">
        <v>0</v>
      </c>
      <c r="P242" s="23" t="s">
        <v>2</v>
      </c>
      <c r="Q242" s="23" t="s">
        <v>145</v>
      </c>
      <c r="R242" s="38" t="s">
        <v>149</v>
      </c>
      <c r="S242" s="42">
        <v>11055417000181</v>
      </c>
      <c r="T242" s="17">
        <v>2023</v>
      </c>
      <c r="U242" s="43" t="s">
        <v>180</v>
      </c>
      <c r="V242" s="43">
        <v>2</v>
      </c>
      <c r="W242" s="40" t="s">
        <v>2</v>
      </c>
      <c r="X242" s="44"/>
      <c r="Y242" s="45"/>
      <c r="Z242" s="45"/>
      <c r="AA242" s="45"/>
      <c r="AB242" s="45" t="s">
        <v>174</v>
      </c>
      <c r="AC242" s="51">
        <v>7</v>
      </c>
      <c r="AD242" s="45"/>
      <c r="AE242" s="45" t="str">
        <f t="shared" si="8"/>
        <v>Neutro</v>
      </c>
    </row>
    <row r="243" spans="1:31" x14ac:dyDescent="0.25">
      <c r="A243" s="5" t="s">
        <v>268</v>
      </c>
      <c r="B243" s="6">
        <v>10112</v>
      </c>
      <c r="C243" s="6">
        <v>2</v>
      </c>
      <c r="D243" s="6" t="s">
        <v>4</v>
      </c>
      <c r="E243" s="6">
        <v>21</v>
      </c>
      <c r="F243" s="6" t="s">
        <v>13</v>
      </c>
      <c r="G243" s="6">
        <v>211</v>
      </c>
      <c r="H243" s="12" t="s">
        <v>153</v>
      </c>
      <c r="I243" s="14" t="s">
        <v>257</v>
      </c>
      <c r="J243" s="13">
        <v>44809</v>
      </c>
      <c r="K243" s="14"/>
      <c r="L243" s="28">
        <v>1634.8</v>
      </c>
      <c r="M243" s="12" t="s">
        <v>225</v>
      </c>
      <c r="N243" s="29">
        <v>957.39</v>
      </c>
      <c r="O243" s="3">
        <v>0.14915890699437973</v>
      </c>
      <c r="P243" s="12">
        <v>567</v>
      </c>
      <c r="Q243" s="12" t="s">
        <v>144</v>
      </c>
      <c r="R243" s="14" t="s">
        <v>149</v>
      </c>
      <c r="S243" s="30">
        <v>11055417000181</v>
      </c>
      <c r="T243" s="6">
        <v>2023</v>
      </c>
      <c r="U243" s="26" t="s">
        <v>180</v>
      </c>
      <c r="V243" s="26">
        <v>2</v>
      </c>
      <c r="W243" s="29">
        <v>452584.4</v>
      </c>
      <c r="X243" s="4" t="s">
        <v>211</v>
      </c>
      <c r="Y243" s="31" t="s">
        <v>174</v>
      </c>
      <c r="Z243" s="31" t="s">
        <v>217</v>
      </c>
      <c r="AA243" s="31" t="s">
        <v>175</v>
      </c>
      <c r="AB243" s="31" t="s">
        <v>175</v>
      </c>
      <c r="AC243" s="52">
        <v>2</v>
      </c>
      <c r="AD243" s="31"/>
      <c r="AE243" s="31" t="str">
        <f t="shared" si="8"/>
        <v>Detrator</v>
      </c>
    </row>
    <row r="244" spans="1:31" x14ac:dyDescent="0.25">
      <c r="W244" s="69"/>
    </row>
    <row r="254" spans="1:31" x14ac:dyDescent="0.25">
      <c r="X254" t="s">
        <v>269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-0.249977111117893"/>
  </sheetPr>
  <dimension ref="A1:R166"/>
  <sheetViews>
    <sheetView zoomScale="130" zoomScaleNormal="130" workbookViewId="0">
      <pane xSplit="1" ySplit="1" topLeftCell="B86" activePane="bottomRight" state="frozen"/>
      <selection pane="topRight" activeCell="B1" sqref="B1"/>
      <selection pane="bottomLeft" activeCell="A2" sqref="A2"/>
      <selection pane="bottomRight" activeCell="A89" sqref="A89"/>
    </sheetView>
  </sheetViews>
  <sheetFormatPr defaultRowHeight="15" x14ac:dyDescent="0.25"/>
  <cols>
    <col min="1" max="1" width="15.5703125" customWidth="1"/>
    <col min="2" max="4" width="13.28515625" customWidth="1"/>
    <col min="5" max="5" width="16.5703125" bestFit="1" customWidth="1"/>
    <col min="6" max="6" width="13.28515625" customWidth="1"/>
    <col min="7" max="7" width="16.140625" bestFit="1" customWidth="1"/>
    <col min="8" max="8" width="18" customWidth="1"/>
    <col min="9" max="9" width="26.7109375" bestFit="1" customWidth="1"/>
    <col min="10" max="11" width="18.5703125" customWidth="1"/>
    <col min="12" max="12" width="11.5703125" customWidth="1"/>
    <col min="13" max="13" width="16.140625" customWidth="1"/>
    <col min="14" max="14" width="25.28515625" bestFit="1" customWidth="1"/>
    <col min="15" max="15" width="17.42578125" customWidth="1"/>
    <col min="16" max="16" width="14" customWidth="1"/>
    <col min="17" max="17" width="15.5703125" customWidth="1"/>
    <col min="18" max="18" width="13" customWidth="1"/>
    <col min="20" max="20" width="29" bestFit="1" customWidth="1"/>
    <col min="21" max="21" width="29.85546875" bestFit="1" customWidth="1"/>
  </cols>
  <sheetData>
    <row r="1" spans="1:18" ht="30" customHeight="1" x14ac:dyDescent="0.25">
      <c r="A1" s="1" t="s">
        <v>0</v>
      </c>
      <c r="B1" s="1" t="s">
        <v>16</v>
      </c>
      <c r="C1" s="1" t="s">
        <v>15</v>
      </c>
      <c r="D1" s="1" t="s">
        <v>196</v>
      </c>
      <c r="E1" s="1" t="s">
        <v>19</v>
      </c>
      <c r="F1" s="1" t="s">
        <v>197</v>
      </c>
      <c r="G1" s="1" t="s">
        <v>21</v>
      </c>
      <c r="H1" s="1" t="s">
        <v>188</v>
      </c>
      <c r="I1" s="1" t="s">
        <v>22</v>
      </c>
      <c r="J1" s="2" t="s">
        <v>182</v>
      </c>
      <c r="K1" s="2" t="s">
        <v>237</v>
      </c>
      <c r="L1" s="1" t="s">
        <v>24</v>
      </c>
      <c r="M1" s="1" t="s">
        <v>183</v>
      </c>
      <c r="N1" s="1" t="s">
        <v>23</v>
      </c>
      <c r="O1" s="1" t="s">
        <v>262</v>
      </c>
      <c r="P1" s="1" t="s">
        <v>185</v>
      </c>
      <c r="Q1" s="1" t="s">
        <v>227</v>
      </c>
      <c r="R1" s="1" t="s">
        <v>17</v>
      </c>
    </row>
    <row r="2" spans="1:18" x14ac:dyDescent="0.25">
      <c r="A2" s="5" t="s">
        <v>266</v>
      </c>
      <c r="B2" s="6">
        <v>10113</v>
      </c>
      <c r="C2" s="6" t="s">
        <v>5</v>
      </c>
      <c r="D2" s="6">
        <v>1</v>
      </c>
      <c r="E2" s="6" t="s">
        <v>1</v>
      </c>
      <c r="F2" s="6">
        <v>11</v>
      </c>
      <c r="G2" s="6" t="s">
        <v>6</v>
      </c>
      <c r="H2" s="5" t="s">
        <v>143</v>
      </c>
      <c r="I2" s="7" t="s">
        <v>111</v>
      </c>
      <c r="J2" s="8">
        <v>43893</v>
      </c>
      <c r="K2" s="32"/>
      <c r="L2" s="10">
        <v>3250</v>
      </c>
      <c r="M2" s="49">
        <v>1365</v>
      </c>
      <c r="N2" s="11" t="s">
        <v>134</v>
      </c>
      <c r="O2" s="11" t="s">
        <v>174</v>
      </c>
      <c r="P2" s="12">
        <v>40</v>
      </c>
      <c r="Q2" s="6">
        <v>2022</v>
      </c>
      <c r="R2" s="12" t="s">
        <v>180</v>
      </c>
    </row>
    <row r="3" spans="1:18" x14ac:dyDescent="0.25">
      <c r="A3" s="16" t="s">
        <v>266</v>
      </c>
      <c r="B3" s="17">
        <v>10113</v>
      </c>
      <c r="C3" s="17" t="s">
        <v>5</v>
      </c>
      <c r="D3" s="17">
        <v>1</v>
      </c>
      <c r="E3" s="17" t="s">
        <v>1</v>
      </c>
      <c r="F3" s="17">
        <v>11</v>
      </c>
      <c r="G3" s="17" t="s">
        <v>6</v>
      </c>
      <c r="H3" s="16" t="s">
        <v>143</v>
      </c>
      <c r="I3" s="18" t="s">
        <v>116</v>
      </c>
      <c r="J3" s="19">
        <v>43924</v>
      </c>
      <c r="K3" s="24"/>
      <c r="L3" s="21">
        <v>3255</v>
      </c>
      <c r="M3" s="48">
        <v>1877.53</v>
      </c>
      <c r="N3" s="22" t="s">
        <v>140</v>
      </c>
      <c r="O3" s="22" t="s">
        <v>174</v>
      </c>
      <c r="P3" s="23">
        <v>45</v>
      </c>
      <c r="Q3" s="17">
        <v>2022</v>
      </c>
      <c r="R3" s="23" t="s">
        <v>180</v>
      </c>
    </row>
    <row r="4" spans="1:18" x14ac:dyDescent="0.25">
      <c r="A4" s="5" t="s">
        <v>266</v>
      </c>
      <c r="B4" s="6">
        <v>10113</v>
      </c>
      <c r="C4" s="6" t="s">
        <v>5</v>
      </c>
      <c r="D4" s="6">
        <v>1</v>
      </c>
      <c r="E4" s="6" t="s">
        <v>1</v>
      </c>
      <c r="F4" s="6">
        <v>11</v>
      </c>
      <c r="G4" s="6" t="s">
        <v>6</v>
      </c>
      <c r="H4" s="5" t="s">
        <v>143</v>
      </c>
      <c r="I4" s="5" t="s">
        <v>117</v>
      </c>
      <c r="J4" s="8">
        <v>43649</v>
      </c>
      <c r="K4" s="32"/>
      <c r="L4" s="10">
        <v>3256</v>
      </c>
      <c r="M4" s="49">
        <v>1667.26</v>
      </c>
      <c r="N4" s="11" t="s">
        <v>136</v>
      </c>
      <c r="O4" s="11" t="s">
        <v>175</v>
      </c>
      <c r="P4" s="12">
        <v>20</v>
      </c>
      <c r="Q4" s="6">
        <v>2022</v>
      </c>
      <c r="R4" s="12" t="s">
        <v>180</v>
      </c>
    </row>
    <row r="5" spans="1:18" x14ac:dyDescent="0.25">
      <c r="A5" s="16" t="s">
        <v>266</v>
      </c>
      <c r="B5" s="17">
        <v>10113</v>
      </c>
      <c r="C5" s="17" t="s">
        <v>5</v>
      </c>
      <c r="D5" s="17">
        <v>1</v>
      </c>
      <c r="E5" s="17" t="s">
        <v>1</v>
      </c>
      <c r="F5" s="17">
        <v>11</v>
      </c>
      <c r="G5" s="17" t="s">
        <v>6</v>
      </c>
      <c r="H5" s="16" t="s">
        <v>143</v>
      </c>
      <c r="I5" s="18" t="s">
        <v>118</v>
      </c>
      <c r="J5" s="19">
        <v>43802</v>
      </c>
      <c r="K5" s="24"/>
      <c r="L5" s="21">
        <v>3257</v>
      </c>
      <c r="M5" s="48">
        <v>1487.84</v>
      </c>
      <c r="N5" s="22" t="s">
        <v>2</v>
      </c>
      <c r="O5" s="22" t="s">
        <v>174</v>
      </c>
      <c r="P5" s="23" t="s">
        <v>2</v>
      </c>
      <c r="Q5" s="17">
        <v>2022</v>
      </c>
      <c r="R5" s="23" t="s">
        <v>2</v>
      </c>
    </row>
    <row r="6" spans="1:18" x14ac:dyDescent="0.25">
      <c r="A6" s="5" t="s">
        <v>266</v>
      </c>
      <c r="B6" s="6">
        <v>10113</v>
      </c>
      <c r="C6" s="6" t="s">
        <v>5</v>
      </c>
      <c r="D6" s="6">
        <v>1</v>
      </c>
      <c r="E6" s="6" t="s">
        <v>1</v>
      </c>
      <c r="F6" s="6">
        <v>11</v>
      </c>
      <c r="G6" s="6" t="s">
        <v>6</v>
      </c>
      <c r="H6" s="5" t="s">
        <v>143</v>
      </c>
      <c r="I6" s="14" t="s">
        <v>119</v>
      </c>
      <c r="J6" s="13">
        <v>43376</v>
      </c>
      <c r="K6" s="32"/>
      <c r="L6" s="10">
        <v>3258</v>
      </c>
      <c r="M6" s="49">
        <v>2046.49</v>
      </c>
      <c r="N6" s="11" t="s">
        <v>136</v>
      </c>
      <c r="O6" s="11" t="s">
        <v>174</v>
      </c>
      <c r="P6" s="12">
        <v>20</v>
      </c>
      <c r="Q6" s="6">
        <v>2022</v>
      </c>
      <c r="R6" s="12" t="s">
        <v>181</v>
      </c>
    </row>
    <row r="7" spans="1:18" x14ac:dyDescent="0.25">
      <c r="A7" s="16" t="s">
        <v>266</v>
      </c>
      <c r="B7" s="17">
        <v>10113</v>
      </c>
      <c r="C7" s="17" t="s">
        <v>5</v>
      </c>
      <c r="D7" s="17">
        <v>1</v>
      </c>
      <c r="E7" s="17" t="s">
        <v>1</v>
      </c>
      <c r="F7" s="17">
        <v>11</v>
      </c>
      <c r="G7" s="17" t="s">
        <v>6</v>
      </c>
      <c r="H7" s="16" t="s">
        <v>143</v>
      </c>
      <c r="I7" s="18" t="s">
        <v>120</v>
      </c>
      <c r="J7" s="19">
        <v>43376</v>
      </c>
      <c r="K7" s="24"/>
      <c r="L7" s="21">
        <v>3259</v>
      </c>
      <c r="M7" s="48">
        <v>2046.49</v>
      </c>
      <c r="N7" s="22" t="s">
        <v>140</v>
      </c>
      <c r="O7" s="22" t="s">
        <v>174</v>
      </c>
      <c r="P7" s="23">
        <v>45</v>
      </c>
      <c r="Q7" s="17">
        <v>2022</v>
      </c>
      <c r="R7" s="23" t="s">
        <v>180</v>
      </c>
    </row>
    <row r="8" spans="1:18" x14ac:dyDescent="0.25">
      <c r="A8" s="5" t="s">
        <v>266</v>
      </c>
      <c r="B8" s="6">
        <v>10113</v>
      </c>
      <c r="C8" s="6" t="s">
        <v>5</v>
      </c>
      <c r="D8" s="6">
        <v>1</v>
      </c>
      <c r="E8" s="6" t="s">
        <v>1</v>
      </c>
      <c r="F8" s="6">
        <v>11</v>
      </c>
      <c r="G8" s="6" t="s">
        <v>6</v>
      </c>
      <c r="H8" s="5" t="s">
        <v>143</v>
      </c>
      <c r="I8" s="14" t="s">
        <v>121</v>
      </c>
      <c r="J8" s="13">
        <v>43771</v>
      </c>
      <c r="K8" s="32"/>
      <c r="L8" s="10">
        <v>3260</v>
      </c>
      <c r="M8" s="49">
        <v>1666.52</v>
      </c>
      <c r="N8" s="11" t="s">
        <v>2</v>
      </c>
      <c r="O8" s="11" t="s">
        <v>174</v>
      </c>
      <c r="P8" s="12" t="s">
        <v>2</v>
      </c>
      <c r="Q8" s="6">
        <v>2022</v>
      </c>
      <c r="R8" s="12" t="s">
        <v>2</v>
      </c>
    </row>
    <row r="9" spans="1:18" x14ac:dyDescent="0.25">
      <c r="A9" s="16" t="s">
        <v>266</v>
      </c>
      <c r="B9" s="17">
        <v>10113</v>
      </c>
      <c r="C9" s="17" t="s">
        <v>5</v>
      </c>
      <c r="D9" s="17">
        <v>1</v>
      </c>
      <c r="E9" s="17" t="s">
        <v>1</v>
      </c>
      <c r="F9" s="17">
        <v>11</v>
      </c>
      <c r="G9" s="17" t="s">
        <v>6</v>
      </c>
      <c r="H9" s="16" t="s">
        <v>143</v>
      </c>
      <c r="I9" s="18" t="s">
        <v>122</v>
      </c>
      <c r="J9" s="19">
        <v>42795</v>
      </c>
      <c r="K9" s="24"/>
      <c r="L9" s="21">
        <v>3261</v>
      </c>
      <c r="M9" s="48">
        <v>1258.95</v>
      </c>
      <c r="N9" s="22" t="s">
        <v>136</v>
      </c>
      <c r="O9" s="22" t="s">
        <v>174</v>
      </c>
      <c r="P9" s="23">
        <v>20</v>
      </c>
      <c r="Q9" s="17">
        <v>2022</v>
      </c>
      <c r="R9" s="23" t="s">
        <v>181</v>
      </c>
    </row>
    <row r="10" spans="1:18" x14ac:dyDescent="0.25">
      <c r="A10" s="16" t="s">
        <v>266</v>
      </c>
      <c r="B10" s="17">
        <v>10113</v>
      </c>
      <c r="C10" s="17" t="s">
        <v>5</v>
      </c>
      <c r="D10" s="17">
        <v>1</v>
      </c>
      <c r="E10" s="17" t="s">
        <v>1</v>
      </c>
      <c r="F10" s="17">
        <v>11</v>
      </c>
      <c r="G10" s="17" t="s">
        <v>6</v>
      </c>
      <c r="H10" s="16" t="s">
        <v>143</v>
      </c>
      <c r="I10" s="18" t="s">
        <v>123</v>
      </c>
      <c r="J10" s="19">
        <v>43375</v>
      </c>
      <c r="K10" s="20"/>
      <c r="L10" s="21">
        <v>3262</v>
      </c>
      <c r="M10" s="48">
        <v>1201.73</v>
      </c>
      <c r="N10" s="22" t="s">
        <v>136</v>
      </c>
      <c r="O10" s="22" t="s">
        <v>174</v>
      </c>
      <c r="P10" s="23">
        <v>20</v>
      </c>
      <c r="Q10" s="17">
        <v>2022</v>
      </c>
      <c r="R10" s="23" t="s">
        <v>181</v>
      </c>
    </row>
    <row r="11" spans="1:18" x14ac:dyDescent="0.25">
      <c r="A11" s="5" t="s">
        <v>266</v>
      </c>
      <c r="B11" s="6">
        <v>10113</v>
      </c>
      <c r="C11" s="6" t="s">
        <v>5</v>
      </c>
      <c r="D11" s="6">
        <v>1</v>
      </c>
      <c r="E11" s="6" t="s">
        <v>1</v>
      </c>
      <c r="F11" s="6">
        <v>11</v>
      </c>
      <c r="G11" s="6" t="s">
        <v>6</v>
      </c>
      <c r="H11" s="5" t="s">
        <v>143</v>
      </c>
      <c r="I11" s="7" t="s">
        <v>124</v>
      </c>
      <c r="J11" s="8">
        <v>44167</v>
      </c>
      <c r="K11" s="7"/>
      <c r="L11" s="10">
        <v>3263</v>
      </c>
      <c r="M11" s="49">
        <v>1201.73</v>
      </c>
      <c r="N11" s="11" t="s">
        <v>2</v>
      </c>
      <c r="O11" s="11" t="s">
        <v>174</v>
      </c>
      <c r="P11" s="12" t="s">
        <v>2</v>
      </c>
      <c r="Q11" s="6">
        <v>2022</v>
      </c>
      <c r="R11" s="12" t="s">
        <v>2</v>
      </c>
    </row>
    <row r="12" spans="1:18" x14ac:dyDescent="0.25">
      <c r="A12" s="16" t="s">
        <v>266</v>
      </c>
      <c r="B12" s="17">
        <v>10113</v>
      </c>
      <c r="C12" s="17" t="s">
        <v>5</v>
      </c>
      <c r="D12" s="17">
        <v>1</v>
      </c>
      <c r="E12" s="17" t="s">
        <v>1</v>
      </c>
      <c r="F12" s="17">
        <v>11</v>
      </c>
      <c r="G12" s="17" t="s">
        <v>6</v>
      </c>
      <c r="H12" s="16" t="s">
        <v>143</v>
      </c>
      <c r="I12" s="18" t="s">
        <v>125</v>
      </c>
      <c r="J12" s="19">
        <v>44169</v>
      </c>
      <c r="K12" s="20"/>
      <c r="L12" s="21">
        <v>3264</v>
      </c>
      <c r="M12" s="48">
        <v>1201.73</v>
      </c>
      <c r="N12" s="22" t="s">
        <v>137</v>
      </c>
      <c r="O12" s="22" t="s">
        <v>174</v>
      </c>
      <c r="P12" s="23">
        <v>10</v>
      </c>
      <c r="Q12" s="17">
        <v>2022</v>
      </c>
      <c r="R12" s="23" t="s">
        <v>180</v>
      </c>
    </row>
    <row r="13" spans="1:18" x14ac:dyDescent="0.25">
      <c r="A13" s="5" t="s">
        <v>266</v>
      </c>
      <c r="B13" s="6">
        <v>10113</v>
      </c>
      <c r="C13" s="6" t="s">
        <v>5</v>
      </c>
      <c r="D13" s="6">
        <v>1</v>
      </c>
      <c r="E13" s="6" t="s">
        <v>1</v>
      </c>
      <c r="F13" s="6">
        <v>11</v>
      </c>
      <c r="G13" s="6" t="s">
        <v>6</v>
      </c>
      <c r="H13" s="5" t="s">
        <v>143</v>
      </c>
      <c r="I13" s="7" t="s">
        <v>126</v>
      </c>
      <c r="J13" s="8">
        <v>43773</v>
      </c>
      <c r="K13" s="7"/>
      <c r="L13" s="10">
        <v>3265</v>
      </c>
      <c r="M13" s="49">
        <v>1201.73</v>
      </c>
      <c r="N13" s="11" t="s">
        <v>138</v>
      </c>
      <c r="O13" s="11" t="s">
        <v>174</v>
      </c>
      <c r="P13" s="12">
        <v>30</v>
      </c>
      <c r="Q13" s="6">
        <v>2022</v>
      </c>
      <c r="R13" s="12" t="s">
        <v>181</v>
      </c>
    </row>
    <row r="14" spans="1:18" x14ac:dyDescent="0.25">
      <c r="A14" s="16" t="s">
        <v>266</v>
      </c>
      <c r="B14" s="17">
        <v>10113</v>
      </c>
      <c r="C14" s="17" t="s">
        <v>5</v>
      </c>
      <c r="D14" s="17">
        <v>1</v>
      </c>
      <c r="E14" s="17" t="s">
        <v>1</v>
      </c>
      <c r="F14" s="17">
        <v>11</v>
      </c>
      <c r="G14" s="17" t="s">
        <v>6</v>
      </c>
      <c r="H14" s="16" t="s">
        <v>143</v>
      </c>
      <c r="I14" s="18" t="s">
        <v>127</v>
      </c>
      <c r="J14" s="19">
        <v>43406</v>
      </c>
      <c r="K14" s="20"/>
      <c r="L14" s="21">
        <v>3266</v>
      </c>
      <c r="M14" s="48">
        <v>1201.73</v>
      </c>
      <c r="N14" s="22" t="s">
        <v>138</v>
      </c>
      <c r="O14" s="22" t="s">
        <v>174</v>
      </c>
      <c r="P14" s="23">
        <v>30</v>
      </c>
      <c r="Q14" s="17">
        <v>2022</v>
      </c>
      <c r="R14" s="23" t="s">
        <v>181</v>
      </c>
    </row>
    <row r="15" spans="1:18" x14ac:dyDescent="0.25">
      <c r="A15" s="5" t="s">
        <v>266</v>
      </c>
      <c r="B15" s="6">
        <v>10113</v>
      </c>
      <c r="C15" s="6" t="s">
        <v>5</v>
      </c>
      <c r="D15" s="6">
        <v>1</v>
      </c>
      <c r="E15" s="6" t="s">
        <v>1</v>
      </c>
      <c r="F15" s="6">
        <v>11</v>
      </c>
      <c r="G15" s="6" t="s">
        <v>6</v>
      </c>
      <c r="H15" s="5" t="s">
        <v>143</v>
      </c>
      <c r="I15" s="5" t="s">
        <v>128</v>
      </c>
      <c r="J15" s="8">
        <v>40088</v>
      </c>
      <c r="K15" s="7"/>
      <c r="L15" s="10">
        <v>3267</v>
      </c>
      <c r="M15" s="49">
        <v>1201.73</v>
      </c>
      <c r="N15" s="11" t="s">
        <v>138</v>
      </c>
      <c r="O15" s="11" t="s">
        <v>175</v>
      </c>
      <c r="P15" s="12">
        <v>30</v>
      </c>
      <c r="Q15" s="6">
        <v>2022</v>
      </c>
      <c r="R15" s="12" t="s">
        <v>181</v>
      </c>
    </row>
    <row r="16" spans="1:18" x14ac:dyDescent="0.25">
      <c r="A16" s="16" t="s">
        <v>266</v>
      </c>
      <c r="B16" s="17">
        <v>10113</v>
      </c>
      <c r="C16" s="17" t="s">
        <v>5</v>
      </c>
      <c r="D16" s="17">
        <v>1</v>
      </c>
      <c r="E16" s="17" t="s">
        <v>1</v>
      </c>
      <c r="F16" s="17">
        <v>11</v>
      </c>
      <c r="G16" s="17" t="s">
        <v>6</v>
      </c>
      <c r="H16" s="16" t="s">
        <v>143</v>
      </c>
      <c r="I16" s="18" t="s">
        <v>129</v>
      </c>
      <c r="J16" s="19">
        <v>41732</v>
      </c>
      <c r="K16" s="20"/>
      <c r="L16" s="21">
        <v>3268</v>
      </c>
      <c r="M16" s="48">
        <v>1767.23</v>
      </c>
      <c r="N16" s="22" t="s">
        <v>2</v>
      </c>
      <c r="O16" s="22" t="s">
        <v>174</v>
      </c>
      <c r="P16" s="23" t="s">
        <v>2</v>
      </c>
      <c r="Q16" s="17">
        <v>2022</v>
      </c>
      <c r="R16" s="23" t="s">
        <v>2</v>
      </c>
    </row>
    <row r="17" spans="1:18" x14ac:dyDescent="0.25">
      <c r="A17" s="5" t="s">
        <v>266</v>
      </c>
      <c r="B17" s="6">
        <v>10113</v>
      </c>
      <c r="C17" s="6" t="s">
        <v>5</v>
      </c>
      <c r="D17" s="6">
        <v>1</v>
      </c>
      <c r="E17" s="6" t="s">
        <v>1</v>
      </c>
      <c r="F17" s="6">
        <v>11</v>
      </c>
      <c r="G17" s="6" t="s">
        <v>6</v>
      </c>
      <c r="H17" s="5" t="s">
        <v>143</v>
      </c>
      <c r="I17" s="14" t="s">
        <v>130</v>
      </c>
      <c r="J17" s="13">
        <v>41216</v>
      </c>
      <c r="K17" s="7"/>
      <c r="L17" s="10">
        <v>3269</v>
      </c>
      <c r="M17" s="49">
        <v>1919.59</v>
      </c>
      <c r="N17" s="11" t="s">
        <v>136</v>
      </c>
      <c r="O17" s="11" t="s">
        <v>174</v>
      </c>
      <c r="P17" s="12">
        <v>20</v>
      </c>
      <c r="Q17" s="6">
        <v>2022</v>
      </c>
      <c r="R17" s="12" t="s">
        <v>180</v>
      </c>
    </row>
    <row r="18" spans="1:18" x14ac:dyDescent="0.25">
      <c r="A18" s="16" t="s">
        <v>266</v>
      </c>
      <c r="B18" s="17">
        <v>10113</v>
      </c>
      <c r="C18" s="17" t="s">
        <v>5</v>
      </c>
      <c r="D18" s="17">
        <v>1</v>
      </c>
      <c r="E18" s="17" t="s">
        <v>1</v>
      </c>
      <c r="F18" s="17">
        <v>11</v>
      </c>
      <c r="G18" s="17" t="s">
        <v>6</v>
      </c>
      <c r="H18" s="16" t="s">
        <v>143</v>
      </c>
      <c r="I18" s="18" t="s">
        <v>131</v>
      </c>
      <c r="J18" s="19">
        <v>42646</v>
      </c>
      <c r="K18" s="20"/>
      <c r="L18" s="21">
        <v>3270</v>
      </c>
      <c r="M18" s="48">
        <v>1919.59</v>
      </c>
      <c r="N18" s="22" t="s">
        <v>138</v>
      </c>
      <c r="O18" s="22" t="s">
        <v>175</v>
      </c>
      <c r="P18" s="23">
        <v>30</v>
      </c>
      <c r="Q18" s="17">
        <v>2022</v>
      </c>
      <c r="R18" s="23" t="s">
        <v>181</v>
      </c>
    </row>
    <row r="19" spans="1:18" x14ac:dyDescent="0.25">
      <c r="A19" s="5" t="s">
        <v>266</v>
      </c>
      <c r="B19" s="6">
        <v>10113</v>
      </c>
      <c r="C19" s="6" t="s">
        <v>5</v>
      </c>
      <c r="D19" s="6">
        <v>1</v>
      </c>
      <c r="E19" s="6" t="s">
        <v>1</v>
      </c>
      <c r="F19" s="6">
        <v>11</v>
      </c>
      <c r="G19" s="6" t="s">
        <v>6</v>
      </c>
      <c r="H19" s="5" t="s">
        <v>189</v>
      </c>
      <c r="I19" s="5" t="s">
        <v>95</v>
      </c>
      <c r="J19" s="8">
        <v>42585</v>
      </c>
      <c r="K19" s="7">
        <v>44684</v>
      </c>
      <c r="L19" s="10">
        <v>3234</v>
      </c>
      <c r="M19" s="49">
        <v>1528.93</v>
      </c>
      <c r="N19" s="11" t="s">
        <v>137</v>
      </c>
      <c r="O19" s="11" t="s">
        <v>175</v>
      </c>
      <c r="P19" s="12">
        <v>10</v>
      </c>
      <c r="Q19" s="6">
        <v>2022</v>
      </c>
      <c r="R19" s="12" t="s">
        <v>180</v>
      </c>
    </row>
    <row r="20" spans="1:18" x14ac:dyDescent="0.25">
      <c r="A20" s="16" t="s">
        <v>266</v>
      </c>
      <c r="B20" s="17">
        <v>10113</v>
      </c>
      <c r="C20" s="17" t="s">
        <v>5</v>
      </c>
      <c r="D20" s="17">
        <v>1</v>
      </c>
      <c r="E20" s="17" t="s">
        <v>1</v>
      </c>
      <c r="F20" s="17">
        <v>11</v>
      </c>
      <c r="G20" s="17" t="s">
        <v>6</v>
      </c>
      <c r="H20" s="16" t="s">
        <v>189</v>
      </c>
      <c r="I20" s="18" t="s">
        <v>96</v>
      </c>
      <c r="J20" s="19">
        <v>40546</v>
      </c>
      <c r="K20" s="20"/>
      <c r="L20" s="21">
        <v>3235</v>
      </c>
      <c r="M20" s="48">
        <v>2100</v>
      </c>
      <c r="N20" s="22" t="s">
        <v>137</v>
      </c>
      <c r="O20" s="22" t="s">
        <v>174</v>
      </c>
      <c r="P20" s="23">
        <v>10</v>
      </c>
      <c r="Q20" s="17">
        <v>2022</v>
      </c>
      <c r="R20" s="23" t="s">
        <v>180</v>
      </c>
    </row>
    <row r="21" spans="1:18" x14ac:dyDescent="0.25">
      <c r="A21" s="5" t="s">
        <v>266</v>
      </c>
      <c r="B21" s="6">
        <v>10113</v>
      </c>
      <c r="C21" s="6" t="s">
        <v>5</v>
      </c>
      <c r="D21" s="6">
        <v>1</v>
      </c>
      <c r="E21" s="6" t="s">
        <v>1</v>
      </c>
      <c r="F21" s="6">
        <v>11</v>
      </c>
      <c r="G21" s="6" t="s">
        <v>6</v>
      </c>
      <c r="H21" s="5" t="s">
        <v>189</v>
      </c>
      <c r="I21" s="14" t="s">
        <v>97</v>
      </c>
      <c r="J21" s="13">
        <v>43072</v>
      </c>
      <c r="K21" s="7"/>
      <c r="L21" s="10">
        <v>3236</v>
      </c>
      <c r="M21" s="49">
        <v>1155</v>
      </c>
      <c r="N21" s="11" t="s">
        <v>94</v>
      </c>
      <c r="O21" s="11" t="s">
        <v>175</v>
      </c>
      <c r="P21" s="12">
        <v>20</v>
      </c>
      <c r="Q21" s="6">
        <v>2022</v>
      </c>
      <c r="R21" s="12" t="s">
        <v>179</v>
      </c>
    </row>
    <row r="22" spans="1:18" x14ac:dyDescent="0.25">
      <c r="A22" s="16" t="s">
        <v>266</v>
      </c>
      <c r="B22" s="17">
        <v>10113</v>
      </c>
      <c r="C22" s="17" t="s">
        <v>5</v>
      </c>
      <c r="D22" s="17">
        <v>1</v>
      </c>
      <c r="E22" s="17" t="s">
        <v>1</v>
      </c>
      <c r="F22" s="17">
        <v>11</v>
      </c>
      <c r="G22" s="17" t="s">
        <v>6</v>
      </c>
      <c r="H22" s="16" t="s">
        <v>189</v>
      </c>
      <c r="I22" s="18" t="s">
        <v>98</v>
      </c>
      <c r="J22" s="19">
        <v>41155</v>
      </c>
      <c r="K22" s="20">
        <v>44807</v>
      </c>
      <c r="L22" s="21">
        <v>3237</v>
      </c>
      <c r="M22" s="48">
        <v>1645.71</v>
      </c>
      <c r="N22" s="22" t="s">
        <v>94</v>
      </c>
      <c r="O22" s="22" t="s">
        <v>174</v>
      </c>
      <c r="P22" s="23">
        <v>20</v>
      </c>
      <c r="Q22" s="17">
        <v>2022</v>
      </c>
      <c r="R22" s="23" t="s">
        <v>179</v>
      </c>
    </row>
    <row r="23" spans="1:18" x14ac:dyDescent="0.25">
      <c r="A23" s="5" t="s">
        <v>266</v>
      </c>
      <c r="B23" s="6">
        <v>10113</v>
      </c>
      <c r="C23" s="6" t="s">
        <v>5</v>
      </c>
      <c r="D23" s="6">
        <v>1</v>
      </c>
      <c r="E23" s="6" t="s">
        <v>1</v>
      </c>
      <c r="F23" s="6">
        <v>11</v>
      </c>
      <c r="G23" s="6" t="s">
        <v>6</v>
      </c>
      <c r="H23" s="5" t="s">
        <v>189</v>
      </c>
      <c r="I23" s="14" t="s">
        <v>99</v>
      </c>
      <c r="J23" s="13">
        <v>42677</v>
      </c>
      <c r="K23" s="7"/>
      <c r="L23" s="10">
        <v>3238</v>
      </c>
      <c r="M23" s="49">
        <v>2100</v>
      </c>
      <c r="N23" s="11" t="s">
        <v>137</v>
      </c>
      <c r="O23" s="11" t="s">
        <v>175</v>
      </c>
      <c r="P23" s="12">
        <v>10</v>
      </c>
      <c r="Q23" s="6">
        <v>2022</v>
      </c>
      <c r="R23" s="12" t="s">
        <v>180</v>
      </c>
    </row>
    <row r="24" spans="1:18" x14ac:dyDescent="0.25">
      <c r="A24" s="16" t="s">
        <v>266</v>
      </c>
      <c r="B24" s="17">
        <v>10113</v>
      </c>
      <c r="C24" s="17" t="s">
        <v>5</v>
      </c>
      <c r="D24" s="17">
        <v>1</v>
      </c>
      <c r="E24" s="17" t="s">
        <v>1</v>
      </c>
      <c r="F24" s="17">
        <v>11</v>
      </c>
      <c r="G24" s="17" t="s">
        <v>6</v>
      </c>
      <c r="H24" s="16" t="s">
        <v>190</v>
      </c>
      <c r="I24" s="18" t="s">
        <v>100</v>
      </c>
      <c r="J24" s="19">
        <v>38932</v>
      </c>
      <c r="K24" s="20"/>
      <c r="L24" s="21">
        <v>3239</v>
      </c>
      <c r="M24" s="48">
        <v>1102.5</v>
      </c>
      <c r="N24" s="22" t="s">
        <v>137</v>
      </c>
      <c r="O24" s="22" t="s">
        <v>174</v>
      </c>
      <c r="P24" s="23">
        <v>10</v>
      </c>
      <c r="Q24" s="17">
        <v>2022</v>
      </c>
      <c r="R24" s="23" t="s">
        <v>180</v>
      </c>
    </row>
    <row r="25" spans="1:18" x14ac:dyDescent="0.25">
      <c r="A25" s="5" t="s">
        <v>266</v>
      </c>
      <c r="B25" s="6">
        <v>10113</v>
      </c>
      <c r="C25" s="6" t="s">
        <v>5</v>
      </c>
      <c r="D25" s="6">
        <v>1</v>
      </c>
      <c r="E25" s="6" t="s">
        <v>1</v>
      </c>
      <c r="F25" s="6">
        <v>11</v>
      </c>
      <c r="G25" s="6" t="s">
        <v>6</v>
      </c>
      <c r="H25" s="5" t="s">
        <v>190</v>
      </c>
      <c r="I25" s="7" t="s">
        <v>101</v>
      </c>
      <c r="J25" s="13">
        <v>38932</v>
      </c>
      <c r="K25" s="7"/>
      <c r="L25" s="10">
        <v>3240</v>
      </c>
      <c r="M25" s="49">
        <v>1102.5</v>
      </c>
      <c r="N25" s="11" t="s">
        <v>134</v>
      </c>
      <c r="O25" s="11" t="s">
        <v>174</v>
      </c>
      <c r="P25" s="12">
        <v>40</v>
      </c>
      <c r="Q25" s="6">
        <v>2022</v>
      </c>
      <c r="R25" s="12" t="s">
        <v>180</v>
      </c>
    </row>
    <row r="26" spans="1:18" x14ac:dyDescent="0.25">
      <c r="A26" s="16" t="s">
        <v>266</v>
      </c>
      <c r="B26" s="17">
        <v>10113</v>
      </c>
      <c r="C26" s="17" t="s">
        <v>5</v>
      </c>
      <c r="D26" s="17">
        <v>1</v>
      </c>
      <c r="E26" s="17" t="s">
        <v>1</v>
      </c>
      <c r="F26" s="17">
        <v>11</v>
      </c>
      <c r="G26" s="17" t="s">
        <v>6</v>
      </c>
      <c r="H26" s="16" t="s">
        <v>191</v>
      </c>
      <c r="I26" s="18" t="s">
        <v>102</v>
      </c>
      <c r="J26" s="19">
        <v>39297</v>
      </c>
      <c r="K26" s="20"/>
      <c r="L26" s="21">
        <v>3241</v>
      </c>
      <c r="M26" s="48">
        <v>10370.61</v>
      </c>
      <c r="N26" s="22" t="s">
        <v>138</v>
      </c>
      <c r="O26" s="22" t="s">
        <v>174</v>
      </c>
      <c r="P26" s="23">
        <v>30</v>
      </c>
      <c r="Q26" s="17">
        <v>2022</v>
      </c>
      <c r="R26" s="23" t="s">
        <v>181</v>
      </c>
    </row>
    <row r="27" spans="1:18" x14ac:dyDescent="0.25">
      <c r="A27" s="5" t="s">
        <v>266</v>
      </c>
      <c r="B27" s="6">
        <v>10113</v>
      </c>
      <c r="C27" s="6" t="s">
        <v>5</v>
      </c>
      <c r="D27" s="6">
        <v>1</v>
      </c>
      <c r="E27" s="6" t="s">
        <v>1</v>
      </c>
      <c r="F27" s="6">
        <v>11</v>
      </c>
      <c r="G27" s="6" t="s">
        <v>6</v>
      </c>
      <c r="H27" s="5" t="s">
        <v>191</v>
      </c>
      <c r="I27" s="7" t="s">
        <v>103</v>
      </c>
      <c r="J27" s="13">
        <v>41093</v>
      </c>
      <c r="K27" s="7"/>
      <c r="L27" s="10">
        <v>3242</v>
      </c>
      <c r="M27" s="49">
        <v>9103.5</v>
      </c>
      <c r="N27" s="11" t="s">
        <v>134</v>
      </c>
      <c r="O27" s="11" t="s">
        <v>174</v>
      </c>
      <c r="P27" s="12">
        <v>40</v>
      </c>
      <c r="Q27" s="6">
        <v>2022</v>
      </c>
      <c r="R27" s="12" t="s">
        <v>179</v>
      </c>
    </row>
    <row r="28" spans="1:18" x14ac:dyDescent="0.25">
      <c r="A28" s="16" t="s">
        <v>266</v>
      </c>
      <c r="B28" s="17">
        <v>10113</v>
      </c>
      <c r="C28" s="17" t="s">
        <v>5</v>
      </c>
      <c r="D28" s="17">
        <v>1</v>
      </c>
      <c r="E28" s="17" t="s">
        <v>1</v>
      </c>
      <c r="F28" s="17">
        <v>11</v>
      </c>
      <c r="G28" s="17" t="s">
        <v>6</v>
      </c>
      <c r="H28" s="16" t="s">
        <v>192</v>
      </c>
      <c r="I28" s="18" t="s">
        <v>104</v>
      </c>
      <c r="J28" s="19">
        <v>42066</v>
      </c>
      <c r="K28" s="20"/>
      <c r="L28" s="21">
        <v>3243</v>
      </c>
      <c r="M28" s="48">
        <v>735</v>
      </c>
      <c r="N28" s="22" t="s">
        <v>134</v>
      </c>
      <c r="O28" s="22" t="s">
        <v>174</v>
      </c>
      <c r="P28" s="23">
        <v>40</v>
      </c>
      <c r="Q28" s="17">
        <v>2022</v>
      </c>
      <c r="R28" s="23" t="s">
        <v>180</v>
      </c>
    </row>
    <row r="29" spans="1:18" x14ac:dyDescent="0.25">
      <c r="A29" s="5" t="s">
        <v>266</v>
      </c>
      <c r="B29" s="6">
        <v>10113</v>
      </c>
      <c r="C29" s="6" t="s">
        <v>5</v>
      </c>
      <c r="D29" s="6">
        <v>1</v>
      </c>
      <c r="E29" s="6" t="s">
        <v>1</v>
      </c>
      <c r="F29" s="6">
        <v>11</v>
      </c>
      <c r="G29" s="6" t="s">
        <v>6</v>
      </c>
      <c r="H29" s="5" t="s">
        <v>195</v>
      </c>
      <c r="I29" s="7" t="s">
        <v>105</v>
      </c>
      <c r="J29" s="8">
        <v>42950</v>
      </c>
      <c r="K29" s="13"/>
      <c r="L29" s="10">
        <v>3244</v>
      </c>
      <c r="M29" s="49">
        <v>3628.93</v>
      </c>
      <c r="N29" s="11" t="s">
        <v>137</v>
      </c>
      <c r="O29" s="11" t="s">
        <v>174</v>
      </c>
      <c r="P29" s="12">
        <v>10</v>
      </c>
      <c r="Q29" s="6">
        <v>2022</v>
      </c>
      <c r="R29" s="12" t="s">
        <v>180</v>
      </c>
    </row>
    <row r="30" spans="1:18" x14ac:dyDescent="0.25">
      <c r="A30" s="16" t="s">
        <v>266</v>
      </c>
      <c r="B30" s="17">
        <v>10113</v>
      </c>
      <c r="C30" s="17" t="s">
        <v>5</v>
      </c>
      <c r="D30" s="17">
        <v>1</v>
      </c>
      <c r="E30" s="17" t="s">
        <v>1</v>
      </c>
      <c r="F30" s="17">
        <v>11</v>
      </c>
      <c r="G30" s="17" t="s">
        <v>6</v>
      </c>
      <c r="H30" s="16" t="s">
        <v>195</v>
      </c>
      <c r="I30" s="18" t="s">
        <v>106</v>
      </c>
      <c r="J30" s="19">
        <v>44138</v>
      </c>
      <c r="K30" s="20"/>
      <c r="L30" s="21">
        <v>3245</v>
      </c>
      <c r="M30" s="48">
        <v>4200</v>
      </c>
      <c r="N30" s="22" t="s">
        <v>137</v>
      </c>
      <c r="O30" s="22" t="s">
        <v>175</v>
      </c>
      <c r="P30" s="23">
        <v>10</v>
      </c>
      <c r="Q30" s="17">
        <v>2022</v>
      </c>
      <c r="R30" s="23" t="s">
        <v>180</v>
      </c>
    </row>
    <row r="31" spans="1:18" x14ac:dyDescent="0.25">
      <c r="A31" s="5" t="s">
        <v>266</v>
      </c>
      <c r="B31" s="6">
        <v>10113</v>
      </c>
      <c r="C31" s="6" t="s">
        <v>5</v>
      </c>
      <c r="D31" s="6">
        <v>1</v>
      </c>
      <c r="E31" s="6" t="s">
        <v>1</v>
      </c>
      <c r="F31" s="6">
        <v>11</v>
      </c>
      <c r="G31" s="6" t="s">
        <v>6</v>
      </c>
      <c r="H31" s="5" t="s">
        <v>195</v>
      </c>
      <c r="I31" s="7" t="s">
        <v>107</v>
      </c>
      <c r="J31" s="8">
        <v>42950</v>
      </c>
      <c r="K31" s="7"/>
      <c r="L31" s="10">
        <v>3246</v>
      </c>
      <c r="M31" s="49">
        <v>3202.5</v>
      </c>
      <c r="N31" s="11" t="s">
        <v>134</v>
      </c>
      <c r="O31" s="11" t="s">
        <v>174</v>
      </c>
      <c r="P31" s="12">
        <v>40</v>
      </c>
      <c r="Q31" s="6">
        <v>2022</v>
      </c>
      <c r="R31" s="12" t="s">
        <v>180</v>
      </c>
    </row>
    <row r="32" spans="1:18" x14ac:dyDescent="0.25">
      <c r="A32" s="16" t="s">
        <v>266</v>
      </c>
      <c r="B32" s="17">
        <v>10113</v>
      </c>
      <c r="C32" s="17" t="s">
        <v>5</v>
      </c>
      <c r="D32" s="17">
        <v>1</v>
      </c>
      <c r="E32" s="17" t="s">
        <v>1</v>
      </c>
      <c r="F32" s="17">
        <v>11</v>
      </c>
      <c r="G32" s="17" t="s">
        <v>6</v>
      </c>
      <c r="H32" s="16" t="s">
        <v>189</v>
      </c>
      <c r="I32" s="18" t="s">
        <v>108</v>
      </c>
      <c r="J32" s="19">
        <v>42524</v>
      </c>
      <c r="K32" s="20"/>
      <c r="L32" s="21">
        <v>3247</v>
      </c>
      <c r="M32" s="48">
        <v>2100</v>
      </c>
      <c r="N32" s="22" t="s">
        <v>2</v>
      </c>
      <c r="O32" s="22" t="s">
        <v>174</v>
      </c>
      <c r="P32" s="23" t="s">
        <v>2</v>
      </c>
      <c r="Q32" s="17">
        <v>2022</v>
      </c>
      <c r="R32" s="23" t="s">
        <v>2</v>
      </c>
    </row>
    <row r="33" spans="1:18" x14ac:dyDescent="0.25">
      <c r="A33" s="5" t="s">
        <v>266</v>
      </c>
      <c r="B33" s="6">
        <v>10113</v>
      </c>
      <c r="C33" s="6" t="s">
        <v>5</v>
      </c>
      <c r="D33" s="6">
        <v>1</v>
      </c>
      <c r="E33" s="6" t="s">
        <v>1</v>
      </c>
      <c r="F33" s="6">
        <v>11</v>
      </c>
      <c r="G33" s="6" t="s">
        <v>6</v>
      </c>
      <c r="H33" s="5" t="s">
        <v>189</v>
      </c>
      <c r="I33" s="7" t="s">
        <v>109</v>
      </c>
      <c r="J33" s="8">
        <v>42677</v>
      </c>
      <c r="K33" s="7"/>
      <c r="L33" s="10">
        <v>3248</v>
      </c>
      <c r="M33" s="49">
        <v>2100</v>
      </c>
      <c r="N33" s="11" t="s">
        <v>134</v>
      </c>
      <c r="O33" s="11" t="s">
        <v>175</v>
      </c>
      <c r="P33" s="12">
        <v>40</v>
      </c>
      <c r="Q33" s="6">
        <v>2022</v>
      </c>
      <c r="R33" s="12" t="s">
        <v>180</v>
      </c>
    </row>
    <row r="34" spans="1:18" x14ac:dyDescent="0.25">
      <c r="A34" s="16" t="s">
        <v>266</v>
      </c>
      <c r="B34" s="17">
        <v>10113</v>
      </c>
      <c r="C34" s="17" t="s">
        <v>5</v>
      </c>
      <c r="D34" s="17">
        <v>1</v>
      </c>
      <c r="E34" s="17" t="s">
        <v>1</v>
      </c>
      <c r="F34" s="17">
        <v>11</v>
      </c>
      <c r="G34" s="17" t="s">
        <v>6</v>
      </c>
      <c r="H34" s="16" t="s">
        <v>193</v>
      </c>
      <c r="I34" s="18" t="s">
        <v>110</v>
      </c>
      <c r="J34" s="19">
        <v>42707</v>
      </c>
      <c r="K34" s="20"/>
      <c r="L34" s="21">
        <v>3249</v>
      </c>
      <c r="M34" s="48">
        <v>1102.5</v>
      </c>
      <c r="N34" s="22" t="s">
        <v>2</v>
      </c>
      <c r="O34" s="22" t="s">
        <v>174</v>
      </c>
      <c r="P34" s="23" t="s">
        <v>2</v>
      </c>
      <c r="Q34" s="17">
        <v>2022</v>
      </c>
      <c r="R34" s="23" t="s">
        <v>2</v>
      </c>
    </row>
    <row r="35" spans="1:18" x14ac:dyDescent="0.25">
      <c r="A35" s="16" t="s">
        <v>266</v>
      </c>
      <c r="B35" s="17">
        <v>10113</v>
      </c>
      <c r="C35" s="17" t="s">
        <v>5</v>
      </c>
      <c r="D35" s="17">
        <v>1</v>
      </c>
      <c r="E35" s="17" t="s">
        <v>1</v>
      </c>
      <c r="F35" s="17">
        <v>11</v>
      </c>
      <c r="G35" s="17" t="s">
        <v>6</v>
      </c>
      <c r="H35" s="16" t="s">
        <v>193</v>
      </c>
      <c r="I35" s="18" t="s">
        <v>112</v>
      </c>
      <c r="J35" s="19">
        <v>43346</v>
      </c>
      <c r="K35" s="24"/>
      <c r="L35" s="21">
        <v>3251</v>
      </c>
      <c r="M35" s="48">
        <v>1528.93</v>
      </c>
      <c r="N35" s="22" t="s">
        <v>134</v>
      </c>
      <c r="O35" s="22" t="s">
        <v>174</v>
      </c>
      <c r="P35" s="23">
        <v>40</v>
      </c>
      <c r="Q35" s="17">
        <v>2022</v>
      </c>
      <c r="R35" s="23" t="s">
        <v>180</v>
      </c>
    </row>
    <row r="36" spans="1:18" x14ac:dyDescent="0.25">
      <c r="A36" s="5" t="s">
        <v>266</v>
      </c>
      <c r="B36" s="6">
        <v>10113</v>
      </c>
      <c r="C36" s="6" t="s">
        <v>5</v>
      </c>
      <c r="D36" s="6">
        <v>1</v>
      </c>
      <c r="E36" s="6" t="s">
        <v>1</v>
      </c>
      <c r="F36" s="6">
        <v>11</v>
      </c>
      <c r="G36" s="6" t="s">
        <v>6</v>
      </c>
      <c r="H36" s="5" t="s">
        <v>193</v>
      </c>
      <c r="I36" s="7" t="s">
        <v>113</v>
      </c>
      <c r="J36" s="8">
        <v>43741</v>
      </c>
      <c r="K36" s="32"/>
      <c r="L36" s="10">
        <v>3252</v>
      </c>
      <c r="M36" s="49">
        <v>2100</v>
      </c>
      <c r="N36" s="11" t="s">
        <v>135</v>
      </c>
      <c r="O36" s="11" t="s">
        <v>174</v>
      </c>
      <c r="P36" s="12">
        <v>60</v>
      </c>
      <c r="Q36" s="6">
        <v>2022</v>
      </c>
      <c r="R36" s="12" t="s">
        <v>181</v>
      </c>
    </row>
    <row r="37" spans="1:18" x14ac:dyDescent="0.25">
      <c r="A37" s="16" t="s">
        <v>266</v>
      </c>
      <c r="B37" s="17">
        <v>10113</v>
      </c>
      <c r="C37" s="17" t="s">
        <v>5</v>
      </c>
      <c r="D37" s="17">
        <v>1</v>
      </c>
      <c r="E37" s="17" t="s">
        <v>1</v>
      </c>
      <c r="F37" s="17">
        <v>11</v>
      </c>
      <c r="G37" s="17" t="s">
        <v>6</v>
      </c>
      <c r="H37" s="16" t="s">
        <v>193</v>
      </c>
      <c r="I37" s="18" t="s">
        <v>114</v>
      </c>
      <c r="J37" s="19">
        <v>44107</v>
      </c>
      <c r="K37" s="24"/>
      <c r="L37" s="21">
        <v>3253</v>
      </c>
      <c r="M37" s="48">
        <v>1296.29</v>
      </c>
      <c r="N37" s="22" t="s">
        <v>135</v>
      </c>
      <c r="O37" s="22" t="s">
        <v>174</v>
      </c>
      <c r="P37" s="23">
        <v>60</v>
      </c>
      <c r="Q37" s="17">
        <v>2022</v>
      </c>
      <c r="R37" s="23" t="s">
        <v>181</v>
      </c>
    </row>
    <row r="38" spans="1:18" x14ac:dyDescent="0.25">
      <c r="A38" s="5" t="s">
        <v>266</v>
      </c>
      <c r="B38" s="6">
        <v>10113</v>
      </c>
      <c r="C38" s="6" t="s">
        <v>5</v>
      </c>
      <c r="D38" s="6">
        <v>1</v>
      </c>
      <c r="E38" s="6" t="s">
        <v>1</v>
      </c>
      <c r="F38" s="6">
        <v>11</v>
      </c>
      <c r="G38" s="6" t="s">
        <v>6</v>
      </c>
      <c r="H38" s="5" t="s">
        <v>193</v>
      </c>
      <c r="I38" s="7" t="s">
        <v>115</v>
      </c>
      <c r="J38" s="8">
        <v>40819</v>
      </c>
      <c r="K38" s="32"/>
      <c r="L38" s="10">
        <v>3254</v>
      </c>
      <c r="M38" s="49">
        <v>1102.5</v>
      </c>
      <c r="N38" s="11" t="s">
        <v>2</v>
      </c>
      <c r="O38" s="11" t="s">
        <v>174</v>
      </c>
      <c r="P38" s="12" t="s">
        <v>2</v>
      </c>
      <c r="Q38" s="6">
        <v>2022</v>
      </c>
      <c r="R38" s="12" t="s">
        <v>2</v>
      </c>
    </row>
    <row r="39" spans="1:18" x14ac:dyDescent="0.25">
      <c r="A39" s="16" t="s">
        <v>266</v>
      </c>
      <c r="B39" s="17">
        <v>10113</v>
      </c>
      <c r="C39" s="17" t="s">
        <v>5</v>
      </c>
      <c r="D39" s="17">
        <v>1</v>
      </c>
      <c r="E39" s="17" t="s">
        <v>1</v>
      </c>
      <c r="F39" s="17">
        <v>11</v>
      </c>
      <c r="G39" s="17" t="s">
        <v>6</v>
      </c>
      <c r="H39" s="16" t="s">
        <v>143</v>
      </c>
      <c r="I39" s="18" t="s">
        <v>132</v>
      </c>
      <c r="J39" s="19">
        <v>44289</v>
      </c>
      <c r="K39" s="24"/>
      <c r="L39" s="21">
        <v>3271</v>
      </c>
      <c r="M39" s="48">
        <v>2174.54</v>
      </c>
      <c r="N39" s="22" t="s">
        <v>136</v>
      </c>
      <c r="O39" s="22" t="s">
        <v>174</v>
      </c>
      <c r="P39" s="23">
        <v>20</v>
      </c>
      <c r="Q39" s="17">
        <v>2022</v>
      </c>
      <c r="R39" s="23" t="s">
        <v>181</v>
      </c>
    </row>
    <row r="40" spans="1:18" x14ac:dyDescent="0.25">
      <c r="A40" s="5" t="s">
        <v>266</v>
      </c>
      <c r="B40" s="6">
        <v>10113</v>
      </c>
      <c r="C40" s="6" t="s">
        <v>5</v>
      </c>
      <c r="D40" s="6">
        <v>1</v>
      </c>
      <c r="E40" s="6" t="s">
        <v>1</v>
      </c>
      <c r="F40" s="6">
        <v>11</v>
      </c>
      <c r="G40" s="6" t="s">
        <v>6</v>
      </c>
      <c r="H40" s="5" t="s">
        <v>195</v>
      </c>
      <c r="I40" s="7" t="s">
        <v>133</v>
      </c>
      <c r="J40" s="8">
        <v>41458</v>
      </c>
      <c r="K40" s="32"/>
      <c r="L40" s="10">
        <v>3272</v>
      </c>
      <c r="M40" s="49">
        <v>2174.54</v>
      </c>
      <c r="N40" s="11" t="s">
        <v>137</v>
      </c>
      <c r="O40" s="11" t="s">
        <v>174</v>
      </c>
      <c r="P40" s="12">
        <v>10</v>
      </c>
      <c r="Q40" s="6">
        <v>2022</v>
      </c>
      <c r="R40" s="12" t="s">
        <v>180</v>
      </c>
    </row>
    <row r="41" spans="1:18" x14ac:dyDescent="0.25">
      <c r="A41" s="16" t="s">
        <v>266</v>
      </c>
      <c r="B41" s="17">
        <v>10113</v>
      </c>
      <c r="C41" s="17" t="s">
        <v>5</v>
      </c>
      <c r="D41" s="17">
        <v>1</v>
      </c>
      <c r="E41" s="17" t="s">
        <v>1</v>
      </c>
      <c r="F41" s="17">
        <v>11</v>
      </c>
      <c r="G41" s="17" t="s">
        <v>6</v>
      </c>
      <c r="H41" s="16" t="s">
        <v>195</v>
      </c>
      <c r="I41" s="18" t="s">
        <v>133</v>
      </c>
      <c r="J41" s="19">
        <v>41458</v>
      </c>
      <c r="K41" s="24"/>
      <c r="L41" s="21">
        <v>3272</v>
      </c>
      <c r="M41" s="48">
        <v>2174.54</v>
      </c>
      <c r="N41" s="22" t="s">
        <v>209</v>
      </c>
      <c r="O41" s="22" t="s">
        <v>175</v>
      </c>
      <c r="P41" s="23">
        <v>30</v>
      </c>
      <c r="Q41" s="17">
        <v>2022</v>
      </c>
      <c r="R41" s="23" t="s">
        <v>208</v>
      </c>
    </row>
    <row r="42" spans="1:18" x14ac:dyDescent="0.25">
      <c r="A42" s="5" t="s">
        <v>266</v>
      </c>
      <c r="B42" s="6">
        <v>10113</v>
      </c>
      <c r="C42" s="6" t="s">
        <v>5</v>
      </c>
      <c r="D42" s="6">
        <v>1</v>
      </c>
      <c r="E42" s="6" t="s">
        <v>1</v>
      </c>
      <c r="F42" s="6">
        <v>11</v>
      </c>
      <c r="G42" s="6" t="s">
        <v>6</v>
      </c>
      <c r="H42" s="5" t="s">
        <v>195</v>
      </c>
      <c r="I42" s="14" t="s">
        <v>133</v>
      </c>
      <c r="J42" s="13">
        <v>41458</v>
      </c>
      <c r="K42" s="32"/>
      <c r="L42" s="10">
        <v>3272</v>
      </c>
      <c r="M42" s="49">
        <v>2174.54</v>
      </c>
      <c r="N42" s="11" t="s">
        <v>213</v>
      </c>
      <c r="O42" s="11" t="s">
        <v>175</v>
      </c>
      <c r="P42" s="12">
        <v>30</v>
      </c>
      <c r="Q42" s="6">
        <v>2022</v>
      </c>
      <c r="R42" s="12" t="s">
        <v>212</v>
      </c>
    </row>
    <row r="43" spans="1:18" x14ac:dyDescent="0.25">
      <c r="A43" s="16" t="s">
        <v>266</v>
      </c>
      <c r="B43" s="17">
        <v>10113</v>
      </c>
      <c r="C43" s="17" t="s">
        <v>5</v>
      </c>
      <c r="D43" s="17">
        <v>1</v>
      </c>
      <c r="E43" s="17" t="s">
        <v>1</v>
      </c>
      <c r="F43" s="17">
        <v>11</v>
      </c>
      <c r="G43" s="17" t="s">
        <v>6</v>
      </c>
      <c r="H43" s="16" t="s">
        <v>191</v>
      </c>
      <c r="I43" s="18" t="s">
        <v>102</v>
      </c>
      <c r="J43" s="19">
        <v>39297</v>
      </c>
      <c r="K43" s="24"/>
      <c r="L43" s="21">
        <v>3241</v>
      </c>
      <c r="M43" s="48">
        <v>10370.61</v>
      </c>
      <c r="N43" s="22" t="s">
        <v>138</v>
      </c>
      <c r="O43" s="22" t="s">
        <v>174</v>
      </c>
      <c r="P43" s="23">
        <v>30</v>
      </c>
      <c r="Q43" s="17">
        <v>2022</v>
      </c>
      <c r="R43" s="23" t="s">
        <v>212</v>
      </c>
    </row>
    <row r="44" spans="1:18" x14ac:dyDescent="0.25">
      <c r="A44" s="5" t="s">
        <v>266</v>
      </c>
      <c r="B44" s="6">
        <v>10113</v>
      </c>
      <c r="C44" s="6" t="s">
        <v>5</v>
      </c>
      <c r="D44" s="6">
        <v>1</v>
      </c>
      <c r="E44" s="6" t="s">
        <v>1</v>
      </c>
      <c r="F44" s="6">
        <v>11</v>
      </c>
      <c r="G44" s="6" t="s">
        <v>6</v>
      </c>
      <c r="H44" s="5" t="s">
        <v>191</v>
      </c>
      <c r="I44" s="7" t="s">
        <v>103</v>
      </c>
      <c r="J44" s="8">
        <v>41093</v>
      </c>
      <c r="K44" s="9"/>
      <c r="L44" s="10">
        <v>3242</v>
      </c>
      <c r="M44" s="49">
        <v>9103.5</v>
      </c>
      <c r="N44" s="11" t="s">
        <v>223</v>
      </c>
      <c r="O44" s="11" t="s">
        <v>175</v>
      </c>
      <c r="P44" s="12">
        <v>40</v>
      </c>
      <c r="Q44" s="6">
        <v>2022</v>
      </c>
      <c r="R44" s="12" t="s">
        <v>212</v>
      </c>
    </row>
    <row r="45" spans="1:18" x14ac:dyDescent="0.25">
      <c r="A45" s="5" t="s">
        <v>266</v>
      </c>
      <c r="B45" s="6">
        <v>10113</v>
      </c>
      <c r="C45" s="6" t="s">
        <v>5</v>
      </c>
      <c r="D45" s="6">
        <v>1</v>
      </c>
      <c r="E45" s="6" t="s">
        <v>1</v>
      </c>
      <c r="F45" s="6">
        <v>11</v>
      </c>
      <c r="G45" s="6" t="s">
        <v>6</v>
      </c>
      <c r="H45" s="5" t="s">
        <v>143</v>
      </c>
      <c r="I45" s="7" t="s">
        <v>122</v>
      </c>
      <c r="J45" s="8">
        <v>42795</v>
      </c>
      <c r="K45" s="7"/>
      <c r="L45" s="10">
        <v>3261</v>
      </c>
      <c r="M45" s="49">
        <v>1258.95</v>
      </c>
      <c r="N45" s="11" t="s">
        <v>136</v>
      </c>
      <c r="O45" s="11" t="s">
        <v>175</v>
      </c>
      <c r="P45" s="12">
        <v>20</v>
      </c>
      <c r="Q45" s="6">
        <v>2022</v>
      </c>
      <c r="R45" s="12" t="s">
        <v>230</v>
      </c>
    </row>
    <row r="46" spans="1:18" x14ac:dyDescent="0.25">
      <c r="A46" s="16" t="s">
        <v>266</v>
      </c>
      <c r="B46" s="17">
        <v>10113</v>
      </c>
      <c r="C46" s="17" t="s">
        <v>5</v>
      </c>
      <c r="D46" s="17">
        <v>1</v>
      </c>
      <c r="E46" s="17" t="s">
        <v>1</v>
      </c>
      <c r="F46" s="17">
        <v>11</v>
      </c>
      <c r="G46" s="17" t="s">
        <v>6</v>
      </c>
      <c r="H46" s="16" t="s">
        <v>143</v>
      </c>
      <c r="I46" s="18" t="s">
        <v>132</v>
      </c>
      <c r="J46" s="19">
        <v>44289</v>
      </c>
      <c r="K46" s="20"/>
      <c r="L46" s="21">
        <v>3271</v>
      </c>
      <c r="M46" s="48">
        <v>2174.54</v>
      </c>
      <c r="N46" s="22" t="s">
        <v>136</v>
      </c>
      <c r="O46" s="22" t="s">
        <v>174</v>
      </c>
      <c r="P46" s="23">
        <v>20</v>
      </c>
      <c r="Q46" s="17">
        <v>2022</v>
      </c>
      <c r="R46" s="23" t="s">
        <v>231</v>
      </c>
    </row>
    <row r="47" spans="1:18" x14ac:dyDescent="0.25">
      <c r="A47" s="5" t="s">
        <v>266</v>
      </c>
      <c r="B47" s="6">
        <v>10113</v>
      </c>
      <c r="C47" s="6" t="s">
        <v>5</v>
      </c>
      <c r="D47" s="6">
        <v>1</v>
      </c>
      <c r="E47" s="6" t="s">
        <v>1</v>
      </c>
      <c r="F47" s="6">
        <v>11</v>
      </c>
      <c r="G47" s="6" t="s">
        <v>6</v>
      </c>
      <c r="H47" s="5" t="s">
        <v>189</v>
      </c>
      <c r="I47" s="14" t="s">
        <v>95</v>
      </c>
      <c r="J47" s="13">
        <v>42585</v>
      </c>
      <c r="K47" s="7"/>
      <c r="L47" s="10">
        <v>3234</v>
      </c>
      <c r="M47" s="49">
        <v>1528.93</v>
      </c>
      <c r="N47" s="11" t="s">
        <v>258</v>
      </c>
      <c r="O47" s="11" t="s">
        <v>175</v>
      </c>
      <c r="P47" s="12">
        <v>60</v>
      </c>
      <c r="Q47" s="6">
        <v>2023</v>
      </c>
      <c r="R47" s="12" t="s">
        <v>179</v>
      </c>
    </row>
    <row r="48" spans="1:18" x14ac:dyDescent="0.25">
      <c r="A48" s="16" t="s">
        <v>266</v>
      </c>
      <c r="B48" s="17">
        <v>10113</v>
      </c>
      <c r="C48" s="17" t="s">
        <v>5</v>
      </c>
      <c r="D48" s="17">
        <v>1</v>
      </c>
      <c r="E48" s="17" t="s">
        <v>1</v>
      </c>
      <c r="F48" s="17">
        <v>11</v>
      </c>
      <c r="G48" s="17" t="s">
        <v>6</v>
      </c>
      <c r="H48" s="16" t="s">
        <v>189</v>
      </c>
      <c r="I48" s="18" t="s">
        <v>96</v>
      </c>
      <c r="J48" s="19">
        <v>40546</v>
      </c>
      <c r="K48" s="20"/>
      <c r="L48" s="21">
        <v>3235</v>
      </c>
      <c r="M48" s="48">
        <v>2100</v>
      </c>
      <c r="N48" s="22" t="s">
        <v>258</v>
      </c>
      <c r="O48" s="22" t="s">
        <v>175</v>
      </c>
      <c r="P48" s="23">
        <v>60</v>
      </c>
      <c r="Q48" s="17">
        <v>2023</v>
      </c>
      <c r="R48" s="23" t="s">
        <v>179</v>
      </c>
    </row>
    <row r="49" spans="1:18" x14ac:dyDescent="0.25">
      <c r="A49" s="5" t="s">
        <v>266</v>
      </c>
      <c r="B49" s="6">
        <v>10113</v>
      </c>
      <c r="C49" s="6" t="s">
        <v>5</v>
      </c>
      <c r="D49" s="6">
        <v>1</v>
      </c>
      <c r="E49" s="6" t="s">
        <v>1</v>
      </c>
      <c r="F49" s="6">
        <v>11</v>
      </c>
      <c r="G49" s="6" t="s">
        <v>6</v>
      </c>
      <c r="H49" s="5" t="s">
        <v>189</v>
      </c>
      <c r="I49" s="7" t="s">
        <v>97</v>
      </c>
      <c r="J49" s="13">
        <v>43072</v>
      </c>
      <c r="K49" s="7"/>
      <c r="L49" s="10">
        <v>3236</v>
      </c>
      <c r="M49" s="49">
        <v>1155</v>
      </c>
      <c r="N49" s="11" t="s">
        <v>258</v>
      </c>
      <c r="O49" s="11" t="s">
        <v>175</v>
      </c>
      <c r="P49" s="12">
        <v>60</v>
      </c>
      <c r="Q49" s="6">
        <v>2023</v>
      </c>
      <c r="R49" s="12" t="s">
        <v>179</v>
      </c>
    </row>
    <row r="50" spans="1:18" x14ac:dyDescent="0.25">
      <c r="A50" s="16" t="s">
        <v>266</v>
      </c>
      <c r="B50" s="17">
        <v>10113</v>
      </c>
      <c r="C50" s="17" t="s">
        <v>5</v>
      </c>
      <c r="D50" s="17">
        <v>1</v>
      </c>
      <c r="E50" s="17" t="s">
        <v>1</v>
      </c>
      <c r="F50" s="17">
        <v>11</v>
      </c>
      <c r="G50" s="17" t="s">
        <v>6</v>
      </c>
      <c r="H50" s="16" t="s">
        <v>189</v>
      </c>
      <c r="I50" s="18" t="s">
        <v>98</v>
      </c>
      <c r="J50" s="19">
        <v>41155</v>
      </c>
      <c r="K50" s="20"/>
      <c r="L50" s="21">
        <v>3237</v>
      </c>
      <c r="M50" s="48">
        <v>1645.71</v>
      </c>
      <c r="N50" s="22" t="s">
        <v>258</v>
      </c>
      <c r="O50" s="22" t="s">
        <v>175</v>
      </c>
      <c r="P50" s="23">
        <v>60</v>
      </c>
      <c r="Q50" s="17">
        <v>2023</v>
      </c>
      <c r="R50" s="23" t="s">
        <v>179</v>
      </c>
    </row>
    <row r="51" spans="1:18" x14ac:dyDescent="0.25">
      <c r="A51" s="5" t="s">
        <v>266</v>
      </c>
      <c r="B51" s="6">
        <v>10113</v>
      </c>
      <c r="C51" s="6" t="s">
        <v>5</v>
      </c>
      <c r="D51" s="6">
        <v>1</v>
      </c>
      <c r="E51" s="6" t="s">
        <v>1</v>
      </c>
      <c r="F51" s="6">
        <v>11</v>
      </c>
      <c r="G51" s="6" t="s">
        <v>6</v>
      </c>
      <c r="H51" s="5" t="s">
        <v>189</v>
      </c>
      <c r="I51" s="7" t="s">
        <v>99</v>
      </c>
      <c r="J51" s="13">
        <v>42677</v>
      </c>
      <c r="K51" s="7"/>
      <c r="L51" s="10">
        <v>3238</v>
      </c>
      <c r="M51" s="49">
        <v>2100</v>
      </c>
      <c r="N51" s="11" t="s">
        <v>258</v>
      </c>
      <c r="O51" s="11" t="s">
        <v>175</v>
      </c>
      <c r="P51" s="12">
        <v>60</v>
      </c>
      <c r="Q51" s="6">
        <v>2023</v>
      </c>
      <c r="R51" s="12" t="s">
        <v>179</v>
      </c>
    </row>
    <row r="52" spans="1:18" x14ac:dyDescent="0.25">
      <c r="A52" s="16" t="s">
        <v>266</v>
      </c>
      <c r="B52" s="17">
        <v>10113</v>
      </c>
      <c r="C52" s="17" t="s">
        <v>5</v>
      </c>
      <c r="D52" s="17">
        <v>1</v>
      </c>
      <c r="E52" s="17" t="s">
        <v>1</v>
      </c>
      <c r="F52" s="17">
        <v>11</v>
      </c>
      <c r="G52" s="17" t="s">
        <v>6</v>
      </c>
      <c r="H52" s="16" t="s">
        <v>191</v>
      </c>
      <c r="I52" s="18" t="s">
        <v>102</v>
      </c>
      <c r="J52" s="19">
        <v>39297</v>
      </c>
      <c r="K52" s="20"/>
      <c r="L52" s="21">
        <v>3241</v>
      </c>
      <c r="M52" s="48">
        <v>10370.61</v>
      </c>
      <c r="N52" s="22" t="s">
        <v>258</v>
      </c>
      <c r="O52" s="22" t="s">
        <v>175</v>
      </c>
      <c r="P52" s="23">
        <v>60</v>
      </c>
      <c r="Q52" s="17">
        <v>2023</v>
      </c>
      <c r="R52" s="23" t="s">
        <v>179</v>
      </c>
    </row>
    <row r="53" spans="1:18" x14ac:dyDescent="0.25">
      <c r="A53" s="5" t="s">
        <v>266</v>
      </c>
      <c r="B53" s="6">
        <v>10113</v>
      </c>
      <c r="C53" s="6" t="s">
        <v>5</v>
      </c>
      <c r="D53" s="6">
        <v>1</v>
      </c>
      <c r="E53" s="6" t="s">
        <v>1</v>
      </c>
      <c r="F53" s="6">
        <v>11</v>
      </c>
      <c r="G53" s="6" t="s">
        <v>6</v>
      </c>
      <c r="H53" s="5" t="s">
        <v>195</v>
      </c>
      <c r="I53" s="7" t="s">
        <v>105</v>
      </c>
      <c r="J53" s="8">
        <v>42950</v>
      </c>
      <c r="K53" s="13"/>
      <c r="L53" s="10">
        <v>3244</v>
      </c>
      <c r="M53" s="49">
        <v>3628.93</v>
      </c>
      <c r="N53" s="11" t="s">
        <v>258</v>
      </c>
      <c r="O53" s="11" t="s">
        <v>175</v>
      </c>
      <c r="P53" s="12">
        <v>60</v>
      </c>
      <c r="Q53" s="6">
        <v>2023</v>
      </c>
      <c r="R53" s="12" t="s">
        <v>179</v>
      </c>
    </row>
    <row r="54" spans="1:18" x14ac:dyDescent="0.25">
      <c r="A54" s="16" t="s">
        <v>266</v>
      </c>
      <c r="B54" s="17">
        <v>10113</v>
      </c>
      <c r="C54" s="17" t="s">
        <v>5</v>
      </c>
      <c r="D54" s="17">
        <v>1</v>
      </c>
      <c r="E54" s="17" t="s">
        <v>1</v>
      </c>
      <c r="F54" s="17">
        <v>11</v>
      </c>
      <c r="G54" s="17" t="s">
        <v>6</v>
      </c>
      <c r="H54" s="16" t="s">
        <v>195</v>
      </c>
      <c r="I54" s="18" t="s">
        <v>106</v>
      </c>
      <c r="J54" s="19">
        <v>44138</v>
      </c>
      <c r="K54" s="20"/>
      <c r="L54" s="21">
        <v>3245</v>
      </c>
      <c r="M54" s="48">
        <v>4200</v>
      </c>
      <c r="N54" s="22" t="s">
        <v>258</v>
      </c>
      <c r="O54" s="22" t="s">
        <v>175</v>
      </c>
      <c r="P54" s="23">
        <v>60</v>
      </c>
      <c r="Q54" s="17">
        <v>2023</v>
      </c>
      <c r="R54" s="23" t="s">
        <v>179</v>
      </c>
    </row>
    <row r="55" spans="1:18" x14ac:dyDescent="0.25">
      <c r="A55" s="5" t="s">
        <v>266</v>
      </c>
      <c r="B55" s="6">
        <v>10113</v>
      </c>
      <c r="C55" s="6" t="s">
        <v>5</v>
      </c>
      <c r="D55" s="6">
        <v>1</v>
      </c>
      <c r="E55" s="6" t="s">
        <v>1</v>
      </c>
      <c r="F55" s="6">
        <v>11</v>
      </c>
      <c r="G55" s="6" t="s">
        <v>6</v>
      </c>
      <c r="H55" s="5" t="s">
        <v>195</v>
      </c>
      <c r="I55" s="7" t="s">
        <v>107</v>
      </c>
      <c r="J55" s="8">
        <v>42950</v>
      </c>
      <c r="K55" s="7"/>
      <c r="L55" s="10">
        <v>3246</v>
      </c>
      <c r="M55" s="49">
        <v>3202.5</v>
      </c>
      <c r="N55" s="11" t="s">
        <v>258</v>
      </c>
      <c r="O55" s="11" t="s">
        <v>175</v>
      </c>
      <c r="P55" s="12">
        <v>60</v>
      </c>
      <c r="Q55" s="6">
        <v>2023</v>
      </c>
      <c r="R55" s="12" t="s">
        <v>179</v>
      </c>
    </row>
    <row r="56" spans="1:18" x14ac:dyDescent="0.25">
      <c r="A56" s="16" t="s">
        <v>266</v>
      </c>
      <c r="B56" s="17">
        <v>10113</v>
      </c>
      <c r="C56" s="17" t="s">
        <v>5</v>
      </c>
      <c r="D56" s="17">
        <v>1</v>
      </c>
      <c r="E56" s="17" t="s">
        <v>1</v>
      </c>
      <c r="F56" s="17">
        <v>11</v>
      </c>
      <c r="G56" s="17" t="s">
        <v>6</v>
      </c>
      <c r="H56" s="16" t="s">
        <v>189</v>
      </c>
      <c r="I56" s="18" t="s">
        <v>108</v>
      </c>
      <c r="J56" s="19">
        <v>42524</v>
      </c>
      <c r="K56" s="20"/>
      <c r="L56" s="21">
        <v>3247</v>
      </c>
      <c r="M56" s="48">
        <v>2100</v>
      </c>
      <c r="N56" s="22" t="s">
        <v>258</v>
      </c>
      <c r="O56" s="22" t="s">
        <v>175</v>
      </c>
      <c r="P56" s="23">
        <v>60</v>
      </c>
      <c r="Q56" s="17">
        <v>2023</v>
      </c>
      <c r="R56" s="23" t="s">
        <v>179</v>
      </c>
    </row>
    <row r="57" spans="1:18" x14ac:dyDescent="0.25">
      <c r="A57" s="5" t="s">
        <v>266</v>
      </c>
      <c r="B57" s="6">
        <v>10113</v>
      </c>
      <c r="C57" s="6" t="s">
        <v>5</v>
      </c>
      <c r="D57" s="6">
        <v>1</v>
      </c>
      <c r="E57" s="6" t="s">
        <v>1</v>
      </c>
      <c r="F57" s="6">
        <v>11</v>
      </c>
      <c r="G57" s="6" t="s">
        <v>6</v>
      </c>
      <c r="H57" s="5" t="s">
        <v>189</v>
      </c>
      <c r="I57" s="7" t="s">
        <v>109</v>
      </c>
      <c r="J57" s="8">
        <v>42677</v>
      </c>
      <c r="K57" s="15">
        <v>44837</v>
      </c>
      <c r="L57" s="10">
        <v>3248</v>
      </c>
      <c r="M57" s="49">
        <v>2100</v>
      </c>
      <c r="N57" s="11" t="s">
        <v>258</v>
      </c>
      <c r="O57" s="11" t="s">
        <v>175</v>
      </c>
      <c r="P57" s="12">
        <v>60</v>
      </c>
      <c r="Q57" s="6">
        <v>2023</v>
      </c>
      <c r="R57" s="12" t="s">
        <v>179</v>
      </c>
    </row>
    <row r="58" spans="1:18" x14ac:dyDescent="0.25">
      <c r="A58" s="16" t="s">
        <v>266</v>
      </c>
      <c r="B58" s="17">
        <v>10113</v>
      </c>
      <c r="C58" s="17" t="s">
        <v>5</v>
      </c>
      <c r="D58" s="17">
        <v>1</v>
      </c>
      <c r="E58" s="17" t="s">
        <v>1</v>
      </c>
      <c r="F58" s="17">
        <v>11</v>
      </c>
      <c r="G58" s="17" t="s">
        <v>6</v>
      </c>
      <c r="H58" s="16" t="s">
        <v>195</v>
      </c>
      <c r="I58" s="18" t="s">
        <v>133</v>
      </c>
      <c r="J58" s="19">
        <v>41458</v>
      </c>
      <c r="K58" s="20"/>
      <c r="L58" s="21">
        <v>3272</v>
      </c>
      <c r="M58" s="48">
        <v>2174.54</v>
      </c>
      <c r="N58" s="22" t="s">
        <v>258</v>
      </c>
      <c r="O58" s="22" t="s">
        <v>175</v>
      </c>
      <c r="P58" s="23">
        <v>60</v>
      </c>
      <c r="Q58" s="17">
        <v>2023</v>
      </c>
      <c r="R58" s="23" t="s">
        <v>179</v>
      </c>
    </row>
    <row r="59" spans="1:18" x14ac:dyDescent="0.25">
      <c r="A59" s="5" t="s">
        <v>266</v>
      </c>
      <c r="B59" s="6">
        <v>10113</v>
      </c>
      <c r="C59" s="6" t="s">
        <v>5</v>
      </c>
      <c r="D59" s="6">
        <v>1</v>
      </c>
      <c r="E59" s="6" t="s">
        <v>1</v>
      </c>
      <c r="F59" s="6">
        <v>11</v>
      </c>
      <c r="G59" s="6" t="s">
        <v>6</v>
      </c>
      <c r="H59" s="5" t="s">
        <v>191</v>
      </c>
      <c r="I59" s="7" t="s">
        <v>102</v>
      </c>
      <c r="J59" s="8">
        <v>39297</v>
      </c>
      <c r="K59" s="7"/>
      <c r="L59" s="10">
        <v>3241</v>
      </c>
      <c r="M59" s="49">
        <v>10370.61</v>
      </c>
      <c r="N59" s="11" t="s">
        <v>258</v>
      </c>
      <c r="O59" s="11" t="s">
        <v>175</v>
      </c>
      <c r="P59" s="12">
        <v>60</v>
      </c>
      <c r="Q59" s="6">
        <v>2023</v>
      </c>
      <c r="R59" s="12" t="s">
        <v>180</v>
      </c>
    </row>
    <row r="60" spans="1:18" x14ac:dyDescent="0.25">
      <c r="A60" s="16" t="s">
        <v>266</v>
      </c>
      <c r="B60" s="17">
        <v>10113</v>
      </c>
      <c r="C60" s="17" t="s">
        <v>5</v>
      </c>
      <c r="D60" s="17">
        <v>1</v>
      </c>
      <c r="E60" s="17" t="s">
        <v>1</v>
      </c>
      <c r="F60" s="17">
        <v>11</v>
      </c>
      <c r="G60" s="17" t="s">
        <v>6</v>
      </c>
      <c r="H60" s="16" t="s">
        <v>191</v>
      </c>
      <c r="I60" s="18" t="s">
        <v>103</v>
      </c>
      <c r="J60" s="19">
        <v>41093</v>
      </c>
      <c r="K60" s="20"/>
      <c r="L60" s="21">
        <v>3242</v>
      </c>
      <c r="M60" s="48">
        <v>9103.5</v>
      </c>
      <c r="N60" s="22" t="s">
        <v>258</v>
      </c>
      <c r="O60" s="22" t="s">
        <v>175</v>
      </c>
      <c r="P60" s="23">
        <v>60</v>
      </c>
      <c r="Q60" s="17">
        <v>2023</v>
      </c>
      <c r="R60" s="23" t="s">
        <v>180</v>
      </c>
    </row>
    <row r="61" spans="1:18" x14ac:dyDescent="0.25">
      <c r="A61" s="5" t="s">
        <v>267</v>
      </c>
      <c r="B61" s="6">
        <v>10110</v>
      </c>
      <c r="C61" s="6" t="s">
        <v>5</v>
      </c>
      <c r="D61" s="6">
        <v>1</v>
      </c>
      <c r="E61" s="6" t="s">
        <v>1</v>
      </c>
      <c r="F61" s="6">
        <v>11</v>
      </c>
      <c r="G61" s="6" t="s">
        <v>6</v>
      </c>
      <c r="H61" s="5" t="s">
        <v>189</v>
      </c>
      <c r="I61" s="7" t="s">
        <v>79</v>
      </c>
      <c r="J61" s="8">
        <v>40634</v>
      </c>
      <c r="K61" s="13"/>
      <c r="L61" s="10">
        <v>4431</v>
      </c>
      <c r="M61" s="49">
        <v>2174.54</v>
      </c>
      <c r="N61" s="11" t="s">
        <v>135</v>
      </c>
      <c r="O61" s="11" t="s">
        <v>175</v>
      </c>
      <c r="P61" s="12">
        <v>60</v>
      </c>
      <c r="Q61" s="6">
        <v>2022</v>
      </c>
      <c r="R61" s="12" t="s">
        <v>181</v>
      </c>
    </row>
    <row r="62" spans="1:18" x14ac:dyDescent="0.25">
      <c r="A62" s="16" t="s">
        <v>267</v>
      </c>
      <c r="B62" s="17">
        <v>10110</v>
      </c>
      <c r="C62" s="17" t="s">
        <v>5</v>
      </c>
      <c r="D62" s="17">
        <v>1</v>
      </c>
      <c r="E62" s="17" t="s">
        <v>1</v>
      </c>
      <c r="F62" s="17">
        <v>11</v>
      </c>
      <c r="G62" s="17" t="s">
        <v>6</v>
      </c>
      <c r="H62" s="16" t="s">
        <v>189</v>
      </c>
      <c r="I62" s="18" t="s">
        <v>80</v>
      </c>
      <c r="J62" s="19">
        <v>40299</v>
      </c>
      <c r="K62" s="20"/>
      <c r="L62" s="21">
        <v>4432</v>
      </c>
      <c r="M62" s="48">
        <v>2174.54</v>
      </c>
      <c r="N62" s="22" t="s">
        <v>135</v>
      </c>
      <c r="O62" s="22" t="s">
        <v>175</v>
      </c>
      <c r="P62" s="23">
        <v>60</v>
      </c>
      <c r="Q62" s="17">
        <v>2022</v>
      </c>
      <c r="R62" s="23" t="s">
        <v>181</v>
      </c>
    </row>
    <row r="63" spans="1:18" x14ac:dyDescent="0.25">
      <c r="A63" s="5" t="s">
        <v>267</v>
      </c>
      <c r="B63" s="6">
        <v>10110</v>
      </c>
      <c r="C63" s="6" t="s">
        <v>5</v>
      </c>
      <c r="D63" s="6">
        <v>1</v>
      </c>
      <c r="E63" s="6" t="s">
        <v>1</v>
      </c>
      <c r="F63" s="6">
        <v>11</v>
      </c>
      <c r="G63" s="6" t="s">
        <v>6</v>
      </c>
      <c r="H63" s="5" t="s">
        <v>190</v>
      </c>
      <c r="I63" s="7" t="s">
        <v>81</v>
      </c>
      <c r="J63" s="8">
        <v>40483</v>
      </c>
      <c r="K63" s="7"/>
      <c r="L63" s="10">
        <v>4433</v>
      </c>
      <c r="M63" s="49">
        <v>1716.54</v>
      </c>
      <c r="N63" s="11" t="s">
        <v>94</v>
      </c>
      <c r="O63" s="11" t="s">
        <v>174</v>
      </c>
      <c r="P63" s="12">
        <v>20</v>
      </c>
      <c r="Q63" s="6">
        <v>2022</v>
      </c>
      <c r="R63" s="12" t="s">
        <v>179</v>
      </c>
    </row>
    <row r="64" spans="1:18" x14ac:dyDescent="0.25">
      <c r="A64" s="16" t="s">
        <v>267</v>
      </c>
      <c r="B64" s="17">
        <v>10110</v>
      </c>
      <c r="C64" s="17" t="s">
        <v>5</v>
      </c>
      <c r="D64" s="17">
        <v>1</v>
      </c>
      <c r="E64" s="17" t="s">
        <v>1</v>
      </c>
      <c r="F64" s="17">
        <v>11</v>
      </c>
      <c r="G64" s="17" t="s">
        <v>6</v>
      </c>
      <c r="H64" s="16" t="s">
        <v>191</v>
      </c>
      <c r="I64" s="18" t="s">
        <v>82</v>
      </c>
      <c r="J64" s="19">
        <v>41093</v>
      </c>
      <c r="K64" s="20"/>
      <c r="L64" s="21">
        <v>4434</v>
      </c>
      <c r="M64" s="48">
        <v>1716.54</v>
      </c>
      <c r="N64" s="22" t="s">
        <v>94</v>
      </c>
      <c r="O64" s="22" t="s">
        <v>175</v>
      </c>
      <c r="P64" s="23">
        <v>20</v>
      </c>
      <c r="Q64" s="17">
        <v>2022</v>
      </c>
      <c r="R64" s="23" t="s">
        <v>179</v>
      </c>
    </row>
    <row r="65" spans="1:18" x14ac:dyDescent="0.25">
      <c r="A65" s="5" t="s">
        <v>267</v>
      </c>
      <c r="B65" s="6">
        <v>10110</v>
      </c>
      <c r="C65" s="6" t="s">
        <v>5</v>
      </c>
      <c r="D65" s="6">
        <v>1</v>
      </c>
      <c r="E65" s="6" t="s">
        <v>1</v>
      </c>
      <c r="F65" s="6">
        <v>11</v>
      </c>
      <c r="G65" s="6" t="s">
        <v>6</v>
      </c>
      <c r="H65" s="5" t="s">
        <v>191</v>
      </c>
      <c r="I65" s="7" t="s">
        <v>83</v>
      </c>
      <c r="J65" s="8">
        <v>41823</v>
      </c>
      <c r="K65" s="7"/>
      <c r="L65" s="10">
        <v>4435</v>
      </c>
      <c r="M65" s="49">
        <v>1352.09</v>
      </c>
      <c r="N65" s="11" t="s">
        <v>137</v>
      </c>
      <c r="O65" s="11" t="s">
        <v>174</v>
      </c>
      <c r="P65" s="12">
        <v>10</v>
      </c>
      <c r="Q65" s="6">
        <v>2022</v>
      </c>
      <c r="R65" s="12" t="s">
        <v>180</v>
      </c>
    </row>
    <row r="66" spans="1:18" x14ac:dyDescent="0.25">
      <c r="A66" s="16" t="s">
        <v>267</v>
      </c>
      <c r="B66" s="17">
        <v>10110</v>
      </c>
      <c r="C66" s="17" t="s">
        <v>5</v>
      </c>
      <c r="D66" s="17">
        <v>1</v>
      </c>
      <c r="E66" s="17" t="s">
        <v>1</v>
      </c>
      <c r="F66" s="17">
        <v>11</v>
      </c>
      <c r="G66" s="17" t="s">
        <v>6</v>
      </c>
      <c r="H66" s="16" t="s">
        <v>192</v>
      </c>
      <c r="I66" s="18" t="s">
        <v>84</v>
      </c>
      <c r="J66" s="19">
        <v>40634</v>
      </c>
      <c r="K66" s="20"/>
      <c r="L66" s="21">
        <v>4436</v>
      </c>
      <c r="M66" s="48">
        <v>1716.54</v>
      </c>
      <c r="N66" s="22" t="s">
        <v>2</v>
      </c>
      <c r="O66" s="22" t="s">
        <v>175</v>
      </c>
      <c r="P66" s="23" t="s">
        <v>2</v>
      </c>
      <c r="Q66" s="17">
        <v>2022</v>
      </c>
      <c r="R66" s="23" t="s">
        <v>2</v>
      </c>
    </row>
    <row r="67" spans="1:18" x14ac:dyDescent="0.25">
      <c r="A67" s="5" t="s">
        <v>267</v>
      </c>
      <c r="B67" s="6">
        <v>10110</v>
      </c>
      <c r="C67" s="6" t="s">
        <v>5</v>
      </c>
      <c r="D67" s="6">
        <v>1</v>
      </c>
      <c r="E67" s="6" t="s">
        <v>1</v>
      </c>
      <c r="F67" s="6">
        <v>11</v>
      </c>
      <c r="G67" s="6" t="s">
        <v>6</v>
      </c>
      <c r="H67" s="5" t="s">
        <v>193</v>
      </c>
      <c r="I67" s="7" t="s">
        <v>85</v>
      </c>
      <c r="J67" s="8">
        <v>43160</v>
      </c>
      <c r="K67" s="7"/>
      <c r="L67" s="10">
        <v>4437</v>
      </c>
      <c r="M67" s="49">
        <v>2129.6999999999998</v>
      </c>
      <c r="N67" s="11" t="s">
        <v>134</v>
      </c>
      <c r="O67" s="11" t="s">
        <v>174</v>
      </c>
      <c r="P67" s="12">
        <v>40</v>
      </c>
      <c r="Q67" s="6">
        <v>2022</v>
      </c>
      <c r="R67" s="12" t="s">
        <v>180</v>
      </c>
    </row>
    <row r="68" spans="1:18" x14ac:dyDescent="0.25">
      <c r="A68" s="16" t="s">
        <v>267</v>
      </c>
      <c r="B68" s="17">
        <v>10110</v>
      </c>
      <c r="C68" s="17" t="s">
        <v>5</v>
      </c>
      <c r="D68" s="17">
        <v>1</v>
      </c>
      <c r="E68" s="17" t="s">
        <v>1</v>
      </c>
      <c r="F68" s="17">
        <v>11</v>
      </c>
      <c r="G68" s="17" t="s">
        <v>6</v>
      </c>
      <c r="H68" s="16" t="s">
        <v>143</v>
      </c>
      <c r="I68" s="18" t="s">
        <v>92</v>
      </c>
      <c r="J68" s="19">
        <v>42554</v>
      </c>
      <c r="K68" s="20"/>
      <c r="L68" s="21">
        <v>4444</v>
      </c>
      <c r="M68" s="48">
        <v>1540.07</v>
      </c>
      <c r="N68" s="22" t="s">
        <v>137</v>
      </c>
      <c r="O68" s="22" t="s">
        <v>174</v>
      </c>
      <c r="P68" s="23">
        <v>10</v>
      </c>
      <c r="Q68" s="17">
        <v>2022</v>
      </c>
      <c r="R68" s="23" t="s">
        <v>180</v>
      </c>
    </row>
    <row r="69" spans="1:18" x14ac:dyDescent="0.25">
      <c r="A69" s="5" t="s">
        <v>267</v>
      </c>
      <c r="B69" s="6">
        <v>10110</v>
      </c>
      <c r="C69" s="6" t="s">
        <v>5</v>
      </c>
      <c r="D69" s="6">
        <v>1</v>
      </c>
      <c r="E69" s="6" t="s">
        <v>1</v>
      </c>
      <c r="F69" s="6">
        <v>11</v>
      </c>
      <c r="G69" s="6" t="s">
        <v>6</v>
      </c>
      <c r="H69" s="5" t="s">
        <v>143</v>
      </c>
      <c r="I69" s="14" t="s">
        <v>93</v>
      </c>
      <c r="J69" s="13">
        <v>44533</v>
      </c>
      <c r="K69" s="7"/>
      <c r="L69" s="10">
        <v>4445</v>
      </c>
      <c r="M69" s="49">
        <v>2115.31</v>
      </c>
      <c r="N69" s="11" t="s">
        <v>134</v>
      </c>
      <c r="O69" s="11" t="s">
        <v>174</v>
      </c>
      <c r="P69" s="12">
        <v>40</v>
      </c>
      <c r="Q69" s="6">
        <v>2022</v>
      </c>
      <c r="R69" s="12" t="s">
        <v>179</v>
      </c>
    </row>
    <row r="70" spans="1:18" x14ac:dyDescent="0.25">
      <c r="A70" s="16" t="s">
        <v>267</v>
      </c>
      <c r="B70" s="17">
        <v>10110</v>
      </c>
      <c r="C70" s="17" t="s">
        <v>5</v>
      </c>
      <c r="D70" s="17">
        <v>1</v>
      </c>
      <c r="E70" s="17" t="s">
        <v>1</v>
      </c>
      <c r="F70" s="17">
        <v>11</v>
      </c>
      <c r="G70" s="17" t="s">
        <v>6</v>
      </c>
      <c r="H70" s="16" t="s">
        <v>143</v>
      </c>
      <c r="I70" s="18" t="s">
        <v>86</v>
      </c>
      <c r="J70" s="19">
        <v>43346</v>
      </c>
      <c r="K70" s="20"/>
      <c r="L70" s="21">
        <v>4438</v>
      </c>
      <c r="M70" s="48">
        <v>2129.6999999999998</v>
      </c>
      <c r="N70" s="22" t="s">
        <v>134</v>
      </c>
      <c r="O70" s="22" t="s">
        <v>175</v>
      </c>
      <c r="P70" s="23">
        <v>40</v>
      </c>
      <c r="Q70" s="17">
        <v>2022</v>
      </c>
      <c r="R70" s="23" t="s">
        <v>179</v>
      </c>
    </row>
    <row r="71" spans="1:18" x14ac:dyDescent="0.25">
      <c r="A71" s="16" t="s">
        <v>267</v>
      </c>
      <c r="B71" s="17">
        <v>10110</v>
      </c>
      <c r="C71" s="17" t="s">
        <v>5</v>
      </c>
      <c r="D71" s="17">
        <v>1</v>
      </c>
      <c r="E71" s="17" t="s">
        <v>1</v>
      </c>
      <c r="F71" s="17">
        <v>11</v>
      </c>
      <c r="G71" s="17" t="s">
        <v>6</v>
      </c>
      <c r="H71" s="16" t="s">
        <v>143</v>
      </c>
      <c r="I71" s="18" t="s">
        <v>87</v>
      </c>
      <c r="J71" s="19">
        <v>43346</v>
      </c>
      <c r="K71" s="24"/>
      <c r="L71" s="21">
        <v>4439</v>
      </c>
      <c r="M71" s="48">
        <v>2129.6999999999998</v>
      </c>
      <c r="N71" s="22" t="s">
        <v>140</v>
      </c>
      <c r="O71" s="22" t="s">
        <v>174</v>
      </c>
      <c r="P71" s="23">
        <v>45</v>
      </c>
      <c r="Q71" s="17">
        <v>2022</v>
      </c>
      <c r="R71" s="23" t="s">
        <v>180</v>
      </c>
    </row>
    <row r="72" spans="1:18" x14ac:dyDescent="0.25">
      <c r="A72" s="5" t="s">
        <v>267</v>
      </c>
      <c r="B72" s="6">
        <v>10110</v>
      </c>
      <c r="C72" s="6" t="s">
        <v>5</v>
      </c>
      <c r="D72" s="6">
        <v>1</v>
      </c>
      <c r="E72" s="6" t="s">
        <v>1</v>
      </c>
      <c r="F72" s="6">
        <v>11</v>
      </c>
      <c r="G72" s="6" t="s">
        <v>6</v>
      </c>
      <c r="H72" s="5" t="s">
        <v>143</v>
      </c>
      <c r="I72" s="7" t="s">
        <v>88</v>
      </c>
      <c r="J72" s="13">
        <v>42981</v>
      </c>
      <c r="K72" s="32"/>
      <c r="L72" s="10">
        <v>4440</v>
      </c>
      <c r="M72" s="49">
        <v>1305.51</v>
      </c>
      <c r="N72" s="11" t="s">
        <v>2</v>
      </c>
      <c r="O72" s="11" t="s">
        <v>174</v>
      </c>
      <c r="P72" s="12" t="s">
        <v>2</v>
      </c>
      <c r="Q72" s="6">
        <v>2022</v>
      </c>
      <c r="R72" s="12" t="s">
        <v>2</v>
      </c>
    </row>
    <row r="73" spans="1:18" x14ac:dyDescent="0.25">
      <c r="A73" s="16" t="s">
        <v>267</v>
      </c>
      <c r="B73" s="17">
        <v>10110</v>
      </c>
      <c r="C73" s="17" t="s">
        <v>5</v>
      </c>
      <c r="D73" s="17">
        <v>1</v>
      </c>
      <c r="E73" s="17" t="s">
        <v>1</v>
      </c>
      <c r="F73" s="17">
        <v>11</v>
      </c>
      <c r="G73" s="17" t="s">
        <v>6</v>
      </c>
      <c r="H73" s="16" t="s">
        <v>143</v>
      </c>
      <c r="I73" s="18" t="s">
        <v>89</v>
      </c>
      <c r="J73" s="19">
        <v>44533</v>
      </c>
      <c r="K73" s="24"/>
      <c r="L73" s="21">
        <v>4441</v>
      </c>
      <c r="M73" s="48">
        <v>1305.74</v>
      </c>
      <c r="N73" s="22" t="s">
        <v>134</v>
      </c>
      <c r="O73" s="22" t="s">
        <v>174</v>
      </c>
      <c r="P73" s="23">
        <v>40</v>
      </c>
      <c r="Q73" s="17">
        <v>2022</v>
      </c>
      <c r="R73" s="23" t="s">
        <v>180</v>
      </c>
    </row>
    <row r="74" spans="1:18" x14ac:dyDescent="0.25">
      <c r="A74" s="16" t="s">
        <v>267</v>
      </c>
      <c r="B74" s="17">
        <v>10110</v>
      </c>
      <c r="C74" s="17" t="s">
        <v>5</v>
      </c>
      <c r="D74" s="17">
        <v>1</v>
      </c>
      <c r="E74" s="17" t="s">
        <v>1</v>
      </c>
      <c r="F74" s="17">
        <v>11</v>
      </c>
      <c r="G74" s="17" t="s">
        <v>6</v>
      </c>
      <c r="H74" s="16" t="s">
        <v>143</v>
      </c>
      <c r="I74" s="18" t="s">
        <v>90</v>
      </c>
      <c r="J74" s="19">
        <v>44533</v>
      </c>
      <c r="K74" s="20"/>
      <c r="L74" s="21">
        <v>4442</v>
      </c>
      <c r="M74" s="48">
        <v>1305.51</v>
      </c>
      <c r="N74" s="22" t="s">
        <v>135</v>
      </c>
      <c r="O74" s="22" t="s">
        <v>174</v>
      </c>
      <c r="P74" s="23">
        <v>60</v>
      </c>
      <c r="Q74" s="17">
        <v>2022</v>
      </c>
      <c r="R74" s="23" t="s">
        <v>181</v>
      </c>
    </row>
    <row r="75" spans="1:18" x14ac:dyDescent="0.25">
      <c r="A75" s="5" t="s">
        <v>267</v>
      </c>
      <c r="B75" s="6">
        <v>10110</v>
      </c>
      <c r="C75" s="6" t="s">
        <v>5</v>
      </c>
      <c r="D75" s="6">
        <v>1</v>
      </c>
      <c r="E75" s="6" t="s">
        <v>1</v>
      </c>
      <c r="F75" s="6">
        <v>11</v>
      </c>
      <c r="G75" s="6" t="s">
        <v>6</v>
      </c>
      <c r="H75" s="5" t="s">
        <v>143</v>
      </c>
      <c r="I75" s="7" t="s">
        <v>91</v>
      </c>
      <c r="J75" s="8">
        <v>39235</v>
      </c>
      <c r="K75" s="7"/>
      <c r="L75" s="10">
        <v>4443</v>
      </c>
      <c r="M75" s="49">
        <v>1892.11</v>
      </c>
      <c r="N75" s="11" t="s">
        <v>135</v>
      </c>
      <c r="O75" s="11" t="s">
        <v>174</v>
      </c>
      <c r="P75" s="12">
        <v>60</v>
      </c>
      <c r="Q75" s="6">
        <v>2022</v>
      </c>
      <c r="R75" s="12" t="s">
        <v>181</v>
      </c>
    </row>
    <row r="76" spans="1:18" x14ac:dyDescent="0.25">
      <c r="A76" s="5" t="s">
        <v>267</v>
      </c>
      <c r="B76" s="6">
        <v>10110</v>
      </c>
      <c r="C76" s="6" t="s">
        <v>5</v>
      </c>
      <c r="D76" s="6">
        <v>1</v>
      </c>
      <c r="E76" s="6" t="s">
        <v>1</v>
      </c>
      <c r="F76" s="6">
        <v>11</v>
      </c>
      <c r="G76" s="6" t="s">
        <v>6</v>
      </c>
      <c r="H76" s="5" t="s">
        <v>191</v>
      </c>
      <c r="I76" s="7" t="s">
        <v>82</v>
      </c>
      <c r="J76" s="8">
        <v>41093</v>
      </c>
      <c r="K76" s="32"/>
      <c r="L76" s="10">
        <v>4434</v>
      </c>
      <c r="M76" s="49">
        <v>1716.54</v>
      </c>
      <c r="N76" s="11" t="s">
        <v>209</v>
      </c>
      <c r="O76" s="11" t="s">
        <v>174</v>
      </c>
      <c r="P76" s="12">
        <v>30</v>
      </c>
      <c r="Q76" s="6">
        <v>2022</v>
      </c>
      <c r="R76" s="12" t="s">
        <v>208</v>
      </c>
    </row>
    <row r="77" spans="1:18" x14ac:dyDescent="0.25">
      <c r="A77" s="16" t="s">
        <v>267</v>
      </c>
      <c r="B77" s="17">
        <v>10110</v>
      </c>
      <c r="C77" s="17" t="s">
        <v>5</v>
      </c>
      <c r="D77" s="17">
        <v>1</v>
      </c>
      <c r="E77" s="17" t="s">
        <v>1</v>
      </c>
      <c r="F77" s="17">
        <v>11</v>
      </c>
      <c r="G77" s="17" t="s">
        <v>6</v>
      </c>
      <c r="H77" s="16" t="s">
        <v>191</v>
      </c>
      <c r="I77" s="18" t="s">
        <v>83</v>
      </c>
      <c r="J77" s="19">
        <v>41823</v>
      </c>
      <c r="K77" s="24"/>
      <c r="L77" s="21">
        <v>4435</v>
      </c>
      <c r="M77" s="48">
        <v>1352.09</v>
      </c>
      <c r="N77" s="22" t="s">
        <v>209</v>
      </c>
      <c r="O77" s="22" t="s">
        <v>174</v>
      </c>
      <c r="P77" s="23">
        <v>30</v>
      </c>
      <c r="Q77" s="17">
        <v>2022</v>
      </c>
      <c r="R77" s="23" t="s">
        <v>208</v>
      </c>
    </row>
    <row r="78" spans="1:18" x14ac:dyDescent="0.25">
      <c r="A78" s="16" t="s">
        <v>267</v>
      </c>
      <c r="B78" s="17">
        <v>10110</v>
      </c>
      <c r="C78" s="17" t="s">
        <v>5</v>
      </c>
      <c r="D78" s="17">
        <v>1</v>
      </c>
      <c r="E78" s="17" t="s">
        <v>1</v>
      </c>
      <c r="F78" s="17">
        <v>11</v>
      </c>
      <c r="G78" s="17" t="s">
        <v>6</v>
      </c>
      <c r="H78" s="16" t="s">
        <v>191</v>
      </c>
      <c r="I78" s="18" t="s">
        <v>82</v>
      </c>
      <c r="J78" s="19">
        <v>41093</v>
      </c>
      <c r="K78" s="20"/>
      <c r="L78" s="21">
        <v>4434</v>
      </c>
      <c r="M78" s="48">
        <v>1716.54</v>
      </c>
      <c r="N78" s="22" t="s">
        <v>213</v>
      </c>
      <c r="O78" s="22" t="s">
        <v>175</v>
      </c>
      <c r="P78" s="23">
        <v>30</v>
      </c>
      <c r="Q78" s="17">
        <v>2022</v>
      </c>
      <c r="R78" s="23" t="s">
        <v>212</v>
      </c>
    </row>
    <row r="79" spans="1:18" x14ac:dyDescent="0.25">
      <c r="A79" s="5" t="s">
        <v>267</v>
      </c>
      <c r="B79" s="6">
        <v>10110</v>
      </c>
      <c r="C79" s="6" t="s">
        <v>5</v>
      </c>
      <c r="D79" s="6">
        <v>1</v>
      </c>
      <c r="E79" s="6" t="s">
        <v>1</v>
      </c>
      <c r="F79" s="6">
        <v>11</v>
      </c>
      <c r="G79" s="6" t="s">
        <v>6</v>
      </c>
      <c r="H79" s="5" t="s">
        <v>191</v>
      </c>
      <c r="I79" s="7" t="s">
        <v>83</v>
      </c>
      <c r="J79" s="13">
        <v>41823</v>
      </c>
      <c r="K79" s="7"/>
      <c r="L79" s="10">
        <v>4435</v>
      </c>
      <c r="M79" s="49">
        <v>1352.09</v>
      </c>
      <c r="N79" s="11" t="s">
        <v>213</v>
      </c>
      <c r="O79" s="11" t="s">
        <v>175</v>
      </c>
      <c r="P79" s="12">
        <v>30</v>
      </c>
      <c r="Q79" s="6">
        <v>2022</v>
      </c>
      <c r="R79" s="12" t="s">
        <v>212</v>
      </c>
    </row>
    <row r="80" spans="1:18" x14ac:dyDescent="0.25">
      <c r="A80" s="16" t="s">
        <v>267</v>
      </c>
      <c r="B80" s="17">
        <v>10110</v>
      </c>
      <c r="C80" s="17" t="s">
        <v>5</v>
      </c>
      <c r="D80" s="17">
        <v>1</v>
      </c>
      <c r="E80" s="17" t="s">
        <v>1</v>
      </c>
      <c r="F80" s="17">
        <v>11</v>
      </c>
      <c r="G80" s="17" t="s">
        <v>6</v>
      </c>
      <c r="H80" s="16" t="s">
        <v>191</v>
      </c>
      <c r="I80" s="18" t="s">
        <v>82</v>
      </c>
      <c r="J80" s="19">
        <v>41093</v>
      </c>
      <c r="K80" s="20"/>
      <c r="L80" s="21">
        <v>4434</v>
      </c>
      <c r="M80" s="48">
        <v>1716.54</v>
      </c>
      <c r="N80" s="22" t="s">
        <v>223</v>
      </c>
      <c r="O80" s="22" t="s">
        <v>175</v>
      </c>
      <c r="P80" s="23">
        <v>40</v>
      </c>
      <c r="Q80" s="17">
        <v>2022</v>
      </c>
      <c r="R80" s="23" t="s">
        <v>212</v>
      </c>
    </row>
    <row r="81" spans="1:18" x14ac:dyDescent="0.25">
      <c r="A81" s="5" t="s">
        <v>267</v>
      </c>
      <c r="B81" s="6">
        <v>10110</v>
      </c>
      <c r="C81" s="6" t="s">
        <v>5</v>
      </c>
      <c r="D81" s="6">
        <v>1</v>
      </c>
      <c r="E81" s="6" t="s">
        <v>1</v>
      </c>
      <c r="F81" s="6">
        <v>11</v>
      </c>
      <c r="G81" s="6" t="s">
        <v>6</v>
      </c>
      <c r="H81" s="5" t="s">
        <v>191</v>
      </c>
      <c r="I81" s="7" t="s">
        <v>83</v>
      </c>
      <c r="J81" s="8">
        <v>41823</v>
      </c>
      <c r="K81" s="7"/>
      <c r="L81" s="10">
        <v>4435</v>
      </c>
      <c r="M81" s="49">
        <v>1352.09</v>
      </c>
      <c r="N81" s="11" t="s">
        <v>223</v>
      </c>
      <c r="O81" s="11" t="s">
        <v>174</v>
      </c>
      <c r="P81" s="12">
        <v>40</v>
      </c>
      <c r="Q81" s="6">
        <v>2022</v>
      </c>
      <c r="R81" s="12" t="s">
        <v>212</v>
      </c>
    </row>
    <row r="82" spans="1:18" x14ac:dyDescent="0.25">
      <c r="A82" s="5" t="s">
        <v>267</v>
      </c>
      <c r="B82" s="6">
        <v>10110</v>
      </c>
      <c r="C82" s="6" t="s">
        <v>5</v>
      </c>
      <c r="D82" s="6">
        <v>1</v>
      </c>
      <c r="E82" s="6" t="s">
        <v>1</v>
      </c>
      <c r="F82" s="6">
        <v>11</v>
      </c>
      <c r="G82" s="6" t="s">
        <v>6</v>
      </c>
      <c r="H82" s="5" t="s">
        <v>143</v>
      </c>
      <c r="I82" s="7" t="s">
        <v>92</v>
      </c>
      <c r="J82" s="8">
        <v>42554</v>
      </c>
      <c r="K82" s="32"/>
      <c r="L82" s="10">
        <v>4444</v>
      </c>
      <c r="M82" s="49">
        <v>1540.07</v>
      </c>
      <c r="N82" s="11" t="s">
        <v>136</v>
      </c>
      <c r="O82" s="11" t="s">
        <v>174</v>
      </c>
      <c r="P82" s="12">
        <v>20</v>
      </c>
      <c r="Q82" s="6">
        <v>2022</v>
      </c>
      <c r="R82" s="12" t="s">
        <v>228</v>
      </c>
    </row>
    <row r="83" spans="1:18" x14ac:dyDescent="0.25">
      <c r="A83" s="16" t="s">
        <v>267</v>
      </c>
      <c r="B83" s="17">
        <v>10110</v>
      </c>
      <c r="C83" s="17" t="s">
        <v>5</v>
      </c>
      <c r="D83" s="17">
        <v>1</v>
      </c>
      <c r="E83" s="17" t="s">
        <v>1</v>
      </c>
      <c r="F83" s="17">
        <v>11</v>
      </c>
      <c r="G83" s="17" t="s">
        <v>6</v>
      </c>
      <c r="H83" s="16" t="s">
        <v>143</v>
      </c>
      <c r="I83" s="18" t="s">
        <v>93</v>
      </c>
      <c r="J83" s="19">
        <v>44533</v>
      </c>
      <c r="K83" s="24"/>
      <c r="L83" s="21">
        <v>4445</v>
      </c>
      <c r="M83" s="48">
        <v>2115.31</v>
      </c>
      <c r="N83" s="22" t="s">
        <v>136</v>
      </c>
      <c r="O83" s="22" t="s">
        <v>175</v>
      </c>
      <c r="P83" s="23">
        <v>20</v>
      </c>
      <c r="Q83" s="17">
        <v>2022</v>
      </c>
      <c r="R83" s="23" t="s">
        <v>230</v>
      </c>
    </row>
    <row r="84" spans="1:18" x14ac:dyDescent="0.25">
      <c r="A84" s="16" t="s">
        <v>267</v>
      </c>
      <c r="B84" s="17">
        <v>10110</v>
      </c>
      <c r="C84" s="17" t="s">
        <v>5</v>
      </c>
      <c r="D84" s="17">
        <v>1</v>
      </c>
      <c r="E84" s="17" t="s">
        <v>1</v>
      </c>
      <c r="F84" s="17">
        <v>11</v>
      </c>
      <c r="G84" s="17" t="s">
        <v>6</v>
      </c>
      <c r="H84" s="16" t="s">
        <v>189</v>
      </c>
      <c r="I84" s="18" t="s">
        <v>79</v>
      </c>
      <c r="J84" s="19">
        <v>40634</v>
      </c>
      <c r="K84" s="20"/>
      <c r="L84" s="21">
        <v>4431</v>
      </c>
      <c r="M84" s="48">
        <v>2174.54</v>
      </c>
      <c r="N84" s="22" t="s">
        <v>258</v>
      </c>
      <c r="O84" s="22" t="s">
        <v>174</v>
      </c>
      <c r="P84" s="23">
        <v>60</v>
      </c>
      <c r="Q84" s="17">
        <v>2022</v>
      </c>
      <c r="R84" s="23" t="s">
        <v>233</v>
      </c>
    </row>
    <row r="85" spans="1:18" x14ac:dyDescent="0.25">
      <c r="A85" s="5" t="s">
        <v>267</v>
      </c>
      <c r="B85" s="6">
        <v>10110</v>
      </c>
      <c r="C85" s="6" t="s">
        <v>5</v>
      </c>
      <c r="D85" s="6">
        <v>1</v>
      </c>
      <c r="E85" s="6" t="s">
        <v>1</v>
      </c>
      <c r="F85" s="6">
        <v>11</v>
      </c>
      <c r="G85" s="6" t="s">
        <v>6</v>
      </c>
      <c r="H85" s="5" t="s">
        <v>189</v>
      </c>
      <c r="I85" s="7" t="s">
        <v>80</v>
      </c>
      <c r="J85" s="8">
        <v>40299</v>
      </c>
      <c r="K85" s="13"/>
      <c r="L85" s="10">
        <v>4432</v>
      </c>
      <c r="M85" s="49">
        <v>2174.54</v>
      </c>
      <c r="N85" s="11" t="s">
        <v>258</v>
      </c>
      <c r="O85" s="11" t="s">
        <v>175</v>
      </c>
      <c r="P85" s="12">
        <v>60</v>
      </c>
      <c r="Q85" s="6">
        <v>2023</v>
      </c>
      <c r="R85" s="12" t="s">
        <v>179</v>
      </c>
    </row>
    <row r="86" spans="1:18" x14ac:dyDescent="0.25">
      <c r="A86" s="16" t="s">
        <v>267</v>
      </c>
      <c r="B86" s="17">
        <v>10110</v>
      </c>
      <c r="C86" s="17" t="s">
        <v>5</v>
      </c>
      <c r="D86" s="17">
        <v>1</v>
      </c>
      <c r="E86" s="17" t="s">
        <v>1</v>
      </c>
      <c r="F86" s="17">
        <v>11</v>
      </c>
      <c r="G86" s="17" t="s">
        <v>6</v>
      </c>
      <c r="H86" s="16" t="s">
        <v>191</v>
      </c>
      <c r="I86" s="18" t="s">
        <v>83</v>
      </c>
      <c r="J86" s="19">
        <v>41823</v>
      </c>
      <c r="K86" s="20"/>
      <c r="L86" s="21">
        <v>4435</v>
      </c>
      <c r="M86" s="48">
        <v>1352.09</v>
      </c>
      <c r="N86" s="22" t="s">
        <v>258</v>
      </c>
      <c r="O86" s="22" t="s">
        <v>175</v>
      </c>
      <c r="P86" s="23">
        <v>60</v>
      </c>
      <c r="Q86" s="17">
        <v>2023</v>
      </c>
      <c r="R86" s="23" t="s">
        <v>179</v>
      </c>
    </row>
    <row r="87" spans="1:18" x14ac:dyDescent="0.25">
      <c r="A87" s="5" t="s">
        <v>267</v>
      </c>
      <c r="B87" s="6">
        <v>10110</v>
      </c>
      <c r="C87" s="6" t="s">
        <v>5</v>
      </c>
      <c r="D87" s="6">
        <v>1</v>
      </c>
      <c r="E87" s="6" t="s">
        <v>1</v>
      </c>
      <c r="F87" s="6">
        <v>11</v>
      </c>
      <c r="G87" s="6" t="s">
        <v>6</v>
      </c>
      <c r="H87" s="5" t="s">
        <v>143</v>
      </c>
      <c r="I87" s="7" t="s">
        <v>93</v>
      </c>
      <c r="J87" s="8">
        <v>44533</v>
      </c>
      <c r="K87" s="7"/>
      <c r="L87" s="10">
        <v>4445</v>
      </c>
      <c r="M87" s="49">
        <v>2115.31</v>
      </c>
      <c r="N87" s="11" t="s">
        <v>258</v>
      </c>
      <c r="O87" s="11" t="s">
        <v>175</v>
      </c>
      <c r="P87" s="12">
        <v>60</v>
      </c>
      <c r="Q87" s="6">
        <v>2023</v>
      </c>
      <c r="R87" s="12" t="s">
        <v>179</v>
      </c>
    </row>
    <row r="88" spans="1:18" x14ac:dyDescent="0.25">
      <c r="A88" s="16" t="s">
        <v>267</v>
      </c>
      <c r="B88" s="17">
        <v>10110</v>
      </c>
      <c r="C88" s="17" t="s">
        <v>5</v>
      </c>
      <c r="D88" s="17">
        <v>1</v>
      </c>
      <c r="E88" s="17" t="s">
        <v>1</v>
      </c>
      <c r="F88" s="17">
        <v>11</v>
      </c>
      <c r="G88" s="17" t="s">
        <v>6</v>
      </c>
      <c r="H88" s="16" t="s">
        <v>191</v>
      </c>
      <c r="I88" s="18" t="s">
        <v>83</v>
      </c>
      <c r="J88" s="19">
        <v>41823</v>
      </c>
      <c r="K88" s="20"/>
      <c r="L88" s="21">
        <v>4435</v>
      </c>
      <c r="M88" s="48">
        <v>1352.09</v>
      </c>
      <c r="N88" s="22" t="s">
        <v>258</v>
      </c>
      <c r="O88" s="22" t="s">
        <v>175</v>
      </c>
      <c r="P88" s="23">
        <v>60</v>
      </c>
      <c r="Q88" s="17">
        <v>2023</v>
      </c>
      <c r="R88" s="23" t="s">
        <v>179</v>
      </c>
    </row>
    <row r="89" spans="1:18" x14ac:dyDescent="0.25">
      <c r="A89" s="5" t="s">
        <v>267</v>
      </c>
      <c r="B89" s="6">
        <v>10110</v>
      </c>
      <c r="C89" s="6" t="s">
        <v>5</v>
      </c>
      <c r="D89" s="6">
        <v>1</v>
      </c>
      <c r="E89" s="6" t="s">
        <v>1</v>
      </c>
      <c r="F89" s="6">
        <v>11</v>
      </c>
      <c r="G89" s="6" t="s">
        <v>6</v>
      </c>
      <c r="H89" s="5" t="s">
        <v>191</v>
      </c>
      <c r="I89" s="7" t="s">
        <v>82</v>
      </c>
      <c r="J89" s="8">
        <v>41093</v>
      </c>
      <c r="K89" s="7"/>
      <c r="L89" s="10">
        <v>4434</v>
      </c>
      <c r="M89" s="49">
        <v>1716.54</v>
      </c>
      <c r="N89" s="11" t="s">
        <v>258</v>
      </c>
      <c r="O89" s="11" t="s">
        <v>175</v>
      </c>
      <c r="P89" s="12">
        <v>60</v>
      </c>
      <c r="Q89" s="6">
        <v>2023</v>
      </c>
      <c r="R89" s="12" t="s">
        <v>180</v>
      </c>
    </row>
    <row r="90" spans="1:18" x14ac:dyDescent="0.25">
      <c r="A90" s="16" t="s">
        <v>268</v>
      </c>
      <c r="B90" s="17">
        <v>10100</v>
      </c>
      <c r="C90" s="17" t="s">
        <v>5</v>
      </c>
      <c r="D90" s="17">
        <v>1</v>
      </c>
      <c r="E90" s="17" t="s">
        <v>1</v>
      </c>
      <c r="F90" s="17">
        <v>11</v>
      </c>
      <c r="G90" s="17" t="s">
        <v>6</v>
      </c>
      <c r="H90" s="16" t="s">
        <v>189</v>
      </c>
      <c r="I90" s="18" t="s">
        <v>64</v>
      </c>
      <c r="J90" s="19">
        <v>39205</v>
      </c>
      <c r="K90" s="20"/>
      <c r="L90" s="21">
        <v>2234</v>
      </c>
      <c r="M90" s="48">
        <v>1716.54</v>
      </c>
      <c r="N90" s="22" t="s">
        <v>135</v>
      </c>
      <c r="O90" s="22" t="s">
        <v>174</v>
      </c>
      <c r="P90" s="23">
        <v>60</v>
      </c>
      <c r="Q90" s="17">
        <v>2022</v>
      </c>
      <c r="R90" s="23" t="s">
        <v>181</v>
      </c>
    </row>
    <row r="91" spans="1:18" x14ac:dyDescent="0.25">
      <c r="A91" s="5" t="s">
        <v>268</v>
      </c>
      <c r="B91" s="6">
        <v>10100</v>
      </c>
      <c r="C91" s="6" t="s">
        <v>5</v>
      </c>
      <c r="D91" s="6">
        <v>1</v>
      </c>
      <c r="E91" s="6" t="s">
        <v>1</v>
      </c>
      <c r="F91" s="6">
        <v>11</v>
      </c>
      <c r="G91" s="6" t="s">
        <v>6</v>
      </c>
      <c r="H91" s="5" t="s">
        <v>189</v>
      </c>
      <c r="I91" s="7" t="s">
        <v>65</v>
      </c>
      <c r="J91" s="8">
        <v>39205</v>
      </c>
      <c r="K91" s="13"/>
      <c r="L91" s="10">
        <v>2235</v>
      </c>
      <c r="M91" s="49">
        <v>2129.6999999999998</v>
      </c>
      <c r="N91" s="11" t="s">
        <v>2</v>
      </c>
      <c r="O91" s="11" t="s">
        <v>175</v>
      </c>
      <c r="P91" s="12" t="s">
        <v>2</v>
      </c>
      <c r="Q91" s="6">
        <v>2022</v>
      </c>
      <c r="R91" s="12" t="s">
        <v>2</v>
      </c>
    </row>
    <row r="92" spans="1:18" x14ac:dyDescent="0.25">
      <c r="A92" s="16" t="s">
        <v>268</v>
      </c>
      <c r="B92" s="17">
        <v>10100</v>
      </c>
      <c r="C92" s="17" t="s">
        <v>5</v>
      </c>
      <c r="D92" s="17">
        <v>1</v>
      </c>
      <c r="E92" s="17" t="s">
        <v>1</v>
      </c>
      <c r="F92" s="17">
        <v>11</v>
      </c>
      <c r="G92" s="17" t="s">
        <v>6</v>
      </c>
      <c r="H92" s="16" t="s">
        <v>189</v>
      </c>
      <c r="I92" s="18" t="s">
        <v>66</v>
      </c>
      <c r="J92" s="19">
        <v>39509</v>
      </c>
      <c r="K92" s="20"/>
      <c r="L92" s="21">
        <v>2236</v>
      </c>
      <c r="M92" s="48">
        <v>2129.6999999999998</v>
      </c>
      <c r="N92" s="22" t="s">
        <v>94</v>
      </c>
      <c r="O92" s="22" t="s">
        <v>174</v>
      </c>
      <c r="P92" s="23">
        <v>20</v>
      </c>
      <c r="Q92" s="17">
        <v>2022</v>
      </c>
      <c r="R92" s="23" t="s">
        <v>179</v>
      </c>
    </row>
    <row r="93" spans="1:18" x14ac:dyDescent="0.25">
      <c r="A93" s="5" t="s">
        <v>268</v>
      </c>
      <c r="B93" s="6">
        <v>10100</v>
      </c>
      <c r="C93" s="6" t="s">
        <v>5</v>
      </c>
      <c r="D93" s="6">
        <v>1</v>
      </c>
      <c r="E93" s="6" t="s">
        <v>1</v>
      </c>
      <c r="F93" s="6">
        <v>11</v>
      </c>
      <c r="G93" s="6" t="s">
        <v>6</v>
      </c>
      <c r="H93" s="5" t="s">
        <v>189</v>
      </c>
      <c r="I93" s="7" t="s">
        <v>67</v>
      </c>
      <c r="J93" s="8">
        <v>42431</v>
      </c>
      <c r="K93" s="7"/>
      <c r="L93" s="10">
        <v>2237</v>
      </c>
      <c r="M93" s="49">
        <v>2129.6999999999998</v>
      </c>
      <c r="N93" s="11" t="s">
        <v>2</v>
      </c>
      <c r="O93" s="11" t="s">
        <v>175</v>
      </c>
      <c r="P93" s="12" t="s">
        <v>2</v>
      </c>
      <c r="Q93" s="6">
        <v>2022</v>
      </c>
      <c r="R93" s="12" t="s">
        <v>2</v>
      </c>
    </row>
    <row r="94" spans="1:18" x14ac:dyDescent="0.25">
      <c r="A94" s="16" t="s">
        <v>268</v>
      </c>
      <c r="B94" s="17">
        <v>10100</v>
      </c>
      <c r="C94" s="17" t="s">
        <v>5</v>
      </c>
      <c r="D94" s="17">
        <v>1</v>
      </c>
      <c r="E94" s="17" t="s">
        <v>1</v>
      </c>
      <c r="F94" s="17">
        <v>11</v>
      </c>
      <c r="G94" s="17" t="s">
        <v>6</v>
      </c>
      <c r="H94" s="16" t="s">
        <v>189</v>
      </c>
      <c r="I94" s="18" t="s">
        <v>68</v>
      </c>
      <c r="J94" s="19">
        <v>43985</v>
      </c>
      <c r="K94" s="20"/>
      <c r="L94" s="21">
        <v>2238</v>
      </c>
      <c r="M94" s="48">
        <v>1999.13</v>
      </c>
      <c r="N94" s="22" t="s">
        <v>137</v>
      </c>
      <c r="O94" s="22" t="s">
        <v>174</v>
      </c>
      <c r="P94" s="23">
        <v>10</v>
      </c>
      <c r="Q94" s="17">
        <v>2022</v>
      </c>
      <c r="R94" s="23" t="s">
        <v>180</v>
      </c>
    </row>
    <row r="95" spans="1:18" x14ac:dyDescent="0.25">
      <c r="A95" s="5" t="s">
        <v>268</v>
      </c>
      <c r="B95" s="6">
        <v>10100</v>
      </c>
      <c r="C95" s="6" t="s">
        <v>5</v>
      </c>
      <c r="D95" s="6">
        <v>1</v>
      </c>
      <c r="E95" s="6" t="s">
        <v>1</v>
      </c>
      <c r="F95" s="6">
        <v>11</v>
      </c>
      <c r="G95" s="6" t="s">
        <v>6</v>
      </c>
      <c r="H95" s="5" t="s">
        <v>190</v>
      </c>
      <c r="I95" s="7" t="s">
        <v>69</v>
      </c>
      <c r="J95" s="8">
        <v>43679</v>
      </c>
      <c r="K95" s="7"/>
      <c r="L95" s="10">
        <v>2239</v>
      </c>
      <c r="M95" s="49">
        <v>1716.54</v>
      </c>
      <c r="N95" s="11" t="s">
        <v>134</v>
      </c>
      <c r="O95" s="11" t="s">
        <v>174</v>
      </c>
      <c r="P95" s="12">
        <v>40</v>
      </c>
      <c r="Q95" s="6">
        <v>2022</v>
      </c>
      <c r="R95" s="12" t="s">
        <v>180</v>
      </c>
    </row>
    <row r="96" spans="1:18" x14ac:dyDescent="0.25">
      <c r="A96" s="16" t="s">
        <v>268</v>
      </c>
      <c r="B96" s="17">
        <v>10100</v>
      </c>
      <c r="C96" s="17" t="s">
        <v>5</v>
      </c>
      <c r="D96" s="17">
        <v>1</v>
      </c>
      <c r="E96" s="17" t="s">
        <v>1</v>
      </c>
      <c r="F96" s="17">
        <v>11</v>
      </c>
      <c r="G96" s="17" t="s">
        <v>6</v>
      </c>
      <c r="H96" s="16" t="s">
        <v>190</v>
      </c>
      <c r="I96" s="18" t="s">
        <v>70</v>
      </c>
      <c r="J96" s="19">
        <v>43893</v>
      </c>
      <c r="K96" s="20"/>
      <c r="L96" s="21">
        <v>2240</v>
      </c>
      <c r="M96" s="48">
        <v>1716.54</v>
      </c>
      <c r="N96" s="22" t="s">
        <v>134</v>
      </c>
      <c r="O96" s="22" t="s">
        <v>174</v>
      </c>
      <c r="P96" s="23">
        <v>40</v>
      </c>
      <c r="Q96" s="17">
        <v>2022</v>
      </c>
      <c r="R96" s="23" t="s">
        <v>179</v>
      </c>
    </row>
    <row r="97" spans="1:18" x14ac:dyDescent="0.25">
      <c r="A97" s="5" t="s">
        <v>268</v>
      </c>
      <c r="B97" s="6">
        <v>10100</v>
      </c>
      <c r="C97" s="6" t="s">
        <v>5</v>
      </c>
      <c r="D97" s="6">
        <v>1</v>
      </c>
      <c r="E97" s="6" t="s">
        <v>1</v>
      </c>
      <c r="F97" s="6">
        <v>11</v>
      </c>
      <c r="G97" s="6" t="s">
        <v>6</v>
      </c>
      <c r="H97" s="5" t="s">
        <v>191</v>
      </c>
      <c r="I97" s="7" t="s">
        <v>71</v>
      </c>
      <c r="J97" s="8">
        <v>42431</v>
      </c>
      <c r="K97" s="7"/>
      <c r="L97" s="10">
        <v>2241</v>
      </c>
      <c r="M97" s="49">
        <v>1716.54</v>
      </c>
      <c r="N97" s="11" t="s">
        <v>139</v>
      </c>
      <c r="O97" s="11" t="s">
        <v>174</v>
      </c>
      <c r="P97" s="12">
        <v>40</v>
      </c>
      <c r="Q97" s="6">
        <v>2022</v>
      </c>
      <c r="R97" s="12" t="s">
        <v>181</v>
      </c>
    </row>
    <row r="98" spans="1:18" x14ac:dyDescent="0.25">
      <c r="A98" s="16" t="s">
        <v>268</v>
      </c>
      <c r="B98" s="17">
        <v>10100</v>
      </c>
      <c r="C98" s="17" t="s">
        <v>5</v>
      </c>
      <c r="D98" s="17">
        <v>1</v>
      </c>
      <c r="E98" s="17" t="s">
        <v>1</v>
      </c>
      <c r="F98" s="17">
        <v>11</v>
      </c>
      <c r="G98" s="17" t="s">
        <v>6</v>
      </c>
      <c r="H98" s="16" t="s">
        <v>191</v>
      </c>
      <c r="I98" s="18" t="s">
        <v>72</v>
      </c>
      <c r="J98" s="19">
        <v>42858</v>
      </c>
      <c r="K98" s="20"/>
      <c r="L98" s="21">
        <v>2242</v>
      </c>
      <c r="M98" s="48">
        <v>2129.6999999999998</v>
      </c>
      <c r="N98" s="22" t="s">
        <v>134</v>
      </c>
      <c r="O98" s="22" t="s">
        <v>174</v>
      </c>
      <c r="P98" s="23">
        <v>40</v>
      </c>
      <c r="Q98" s="17">
        <v>2022</v>
      </c>
      <c r="R98" s="23" t="s">
        <v>179</v>
      </c>
    </row>
    <row r="99" spans="1:18" x14ac:dyDescent="0.25">
      <c r="A99" s="5" t="s">
        <v>268</v>
      </c>
      <c r="B99" s="6">
        <v>10100</v>
      </c>
      <c r="C99" s="6" t="s">
        <v>5</v>
      </c>
      <c r="D99" s="6">
        <v>1</v>
      </c>
      <c r="E99" s="6" t="s">
        <v>1</v>
      </c>
      <c r="F99" s="6">
        <v>11</v>
      </c>
      <c r="G99" s="6" t="s">
        <v>6</v>
      </c>
      <c r="H99" s="5" t="s">
        <v>192</v>
      </c>
      <c r="I99" s="7" t="s">
        <v>73</v>
      </c>
      <c r="J99" s="8">
        <v>43407</v>
      </c>
      <c r="K99" s="7"/>
      <c r="L99" s="10">
        <v>2243</v>
      </c>
      <c r="M99" s="49">
        <v>1716.54</v>
      </c>
      <c r="N99" s="11" t="s">
        <v>2</v>
      </c>
      <c r="O99" s="11" t="s">
        <v>174</v>
      </c>
      <c r="P99" s="12" t="s">
        <v>2</v>
      </c>
      <c r="Q99" s="6">
        <v>2022</v>
      </c>
      <c r="R99" s="12" t="s">
        <v>2</v>
      </c>
    </row>
    <row r="100" spans="1:18" x14ac:dyDescent="0.25">
      <c r="A100" s="16" t="s">
        <v>268</v>
      </c>
      <c r="B100" s="17">
        <v>10100</v>
      </c>
      <c r="C100" s="17" t="s">
        <v>5</v>
      </c>
      <c r="D100" s="17">
        <v>1</v>
      </c>
      <c r="E100" s="17" t="s">
        <v>1</v>
      </c>
      <c r="F100" s="17">
        <v>11</v>
      </c>
      <c r="G100" s="17" t="s">
        <v>6</v>
      </c>
      <c r="H100" s="16" t="s">
        <v>193</v>
      </c>
      <c r="I100" s="18" t="s">
        <v>74</v>
      </c>
      <c r="J100" s="19">
        <v>42432</v>
      </c>
      <c r="K100" s="20"/>
      <c r="L100" s="21">
        <v>2244</v>
      </c>
      <c r="M100" s="48">
        <v>1716.54</v>
      </c>
      <c r="N100" s="22" t="s">
        <v>134</v>
      </c>
      <c r="O100" s="22" t="s">
        <v>175</v>
      </c>
      <c r="P100" s="23">
        <v>40</v>
      </c>
      <c r="Q100" s="17">
        <v>2022</v>
      </c>
      <c r="R100" s="23" t="s">
        <v>180</v>
      </c>
    </row>
    <row r="101" spans="1:18" x14ac:dyDescent="0.25">
      <c r="A101" s="5" t="s">
        <v>268</v>
      </c>
      <c r="B101" s="6">
        <v>10100</v>
      </c>
      <c r="C101" s="6" t="s">
        <v>5</v>
      </c>
      <c r="D101" s="6">
        <v>1</v>
      </c>
      <c r="E101" s="6" t="s">
        <v>1</v>
      </c>
      <c r="F101" s="6">
        <v>11</v>
      </c>
      <c r="G101" s="6" t="s">
        <v>6</v>
      </c>
      <c r="H101" s="5" t="s">
        <v>194</v>
      </c>
      <c r="I101" s="7" t="s">
        <v>75</v>
      </c>
      <c r="J101" s="13">
        <v>41334</v>
      </c>
      <c r="K101" s="7"/>
      <c r="L101" s="10">
        <v>2253</v>
      </c>
      <c r="M101" s="49">
        <v>1716.54</v>
      </c>
      <c r="N101" s="11" t="s">
        <v>140</v>
      </c>
      <c r="O101" s="11" t="s">
        <v>174</v>
      </c>
      <c r="P101" s="12">
        <v>45</v>
      </c>
      <c r="Q101" s="6">
        <v>2022</v>
      </c>
      <c r="R101" s="12" t="s">
        <v>180</v>
      </c>
    </row>
    <row r="102" spans="1:18" x14ac:dyDescent="0.25">
      <c r="A102" s="16" t="s">
        <v>268</v>
      </c>
      <c r="B102" s="17">
        <v>10100</v>
      </c>
      <c r="C102" s="17" t="s">
        <v>5</v>
      </c>
      <c r="D102" s="17">
        <v>1</v>
      </c>
      <c r="E102" s="17" t="s">
        <v>1</v>
      </c>
      <c r="F102" s="17">
        <v>11</v>
      </c>
      <c r="G102" s="17" t="s">
        <v>6</v>
      </c>
      <c r="H102" s="16" t="s">
        <v>195</v>
      </c>
      <c r="I102" s="18" t="s">
        <v>76</v>
      </c>
      <c r="J102" s="19">
        <v>41579</v>
      </c>
      <c r="K102" s="20"/>
      <c r="L102" s="21">
        <v>2254</v>
      </c>
      <c r="M102" s="48">
        <v>1716.54</v>
      </c>
      <c r="N102" s="22" t="s">
        <v>137</v>
      </c>
      <c r="O102" s="22" t="s">
        <v>175</v>
      </c>
      <c r="P102" s="23">
        <v>10</v>
      </c>
      <c r="Q102" s="17">
        <v>2022</v>
      </c>
      <c r="R102" s="23" t="s">
        <v>180</v>
      </c>
    </row>
    <row r="103" spans="1:18" x14ac:dyDescent="0.25">
      <c r="A103" s="5" t="s">
        <v>268</v>
      </c>
      <c r="B103" s="6">
        <v>10100</v>
      </c>
      <c r="C103" s="6" t="s">
        <v>5</v>
      </c>
      <c r="D103" s="6">
        <v>1</v>
      </c>
      <c r="E103" s="6" t="s">
        <v>1</v>
      </c>
      <c r="F103" s="6">
        <v>11</v>
      </c>
      <c r="G103" s="6" t="s">
        <v>6</v>
      </c>
      <c r="H103" s="5" t="s">
        <v>195</v>
      </c>
      <c r="I103" s="7" t="s">
        <v>77</v>
      </c>
      <c r="J103" s="13">
        <v>41944</v>
      </c>
      <c r="K103" s="7"/>
      <c r="L103" s="10">
        <v>2255</v>
      </c>
      <c r="M103" s="49">
        <v>1716.54</v>
      </c>
      <c r="N103" s="11" t="s">
        <v>139</v>
      </c>
      <c r="O103" s="11" t="s">
        <v>174</v>
      </c>
      <c r="P103" s="12">
        <v>40</v>
      </c>
      <c r="Q103" s="6">
        <v>2022</v>
      </c>
      <c r="R103" s="12" t="s">
        <v>181</v>
      </c>
    </row>
    <row r="104" spans="1:18" x14ac:dyDescent="0.25">
      <c r="A104" s="16" t="s">
        <v>268</v>
      </c>
      <c r="B104" s="17">
        <v>10100</v>
      </c>
      <c r="C104" s="17" t="s">
        <v>5</v>
      </c>
      <c r="D104" s="17">
        <v>1</v>
      </c>
      <c r="E104" s="17" t="s">
        <v>1</v>
      </c>
      <c r="F104" s="17">
        <v>11</v>
      </c>
      <c r="G104" s="17" t="s">
        <v>6</v>
      </c>
      <c r="H104" s="16" t="s">
        <v>195</v>
      </c>
      <c r="I104" s="18" t="s">
        <v>78</v>
      </c>
      <c r="J104" s="19">
        <v>41883</v>
      </c>
      <c r="K104" s="20"/>
      <c r="L104" s="21">
        <v>2256</v>
      </c>
      <c r="M104" s="48">
        <v>1305.51</v>
      </c>
      <c r="N104" s="22" t="s">
        <v>137</v>
      </c>
      <c r="O104" s="22" t="s">
        <v>174</v>
      </c>
      <c r="P104" s="23">
        <v>10</v>
      </c>
      <c r="Q104" s="17">
        <v>2022</v>
      </c>
      <c r="R104" s="23" t="s">
        <v>180</v>
      </c>
    </row>
    <row r="105" spans="1:18" x14ac:dyDescent="0.25">
      <c r="A105" s="16" t="s">
        <v>268</v>
      </c>
      <c r="B105" s="17">
        <v>10112</v>
      </c>
      <c r="C105" s="17" t="s">
        <v>5</v>
      </c>
      <c r="D105" s="17">
        <v>1</v>
      </c>
      <c r="E105" s="17" t="s">
        <v>1</v>
      </c>
      <c r="F105" s="17">
        <v>11</v>
      </c>
      <c r="G105" s="17" t="s">
        <v>6</v>
      </c>
      <c r="H105" s="16" t="s">
        <v>189</v>
      </c>
      <c r="I105" s="18" t="s">
        <v>25</v>
      </c>
      <c r="J105" s="19">
        <v>44319</v>
      </c>
      <c r="K105" s="24">
        <v>44805</v>
      </c>
      <c r="L105" s="21">
        <v>1234</v>
      </c>
      <c r="M105" s="48">
        <v>1716.54</v>
      </c>
      <c r="N105" s="22" t="s">
        <v>134</v>
      </c>
      <c r="O105" s="22" t="s">
        <v>175</v>
      </c>
      <c r="P105" s="23">
        <v>40</v>
      </c>
      <c r="Q105" s="17">
        <v>2022</v>
      </c>
      <c r="R105" s="23" t="s">
        <v>180</v>
      </c>
    </row>
    <row r="106" spans="1:18" x14ac:dyDescent="0.25">
      <c r="A106" s="5" t="s">
        <v>268</v>
      </c>
      <c r="B106" s="6">
        <v>10112</v>
      </c>
      <c r="C106" s="6" t="s">
        <v>5</v>
      </c>
      <c r="D106" s="6">
        <v>1</v>
      </c>
      <c r="E106" s="6" t="s">
        <v>1</v>
      </c>
      <c r="F106" s="6">
        <v>11</v>
      </c>
      <c r="G106" s="6" t="s">
        <v>6</v>
      </c>
      <c r="H106" s="5" t="s">
        <v>189</v>
      </c>
      <c r="I106" s="14" t="s">
        <v>26</v>
      </c>
      <c r="J106" s="13">
        <v>44319</v>
      </c>
      <c r="K106" s="32"/>
      <c r="L106" s="10">
        <v>1235</v>
      </c>
      <c r="M106" s="49">
        <v>1716.54</v>
      </c>
      <c r="N106" s="11" t="s">
        <v>134</v>
      </c>
      <c r="O106" s="11" t="s">
        <v>174</v>
      </c>
      <c r="P106" s="12">
        <v>40</v>
      </c>
      <c r="Q106" s="6">
        <v>2022</v>
      </c>
      <c r="R106" s="12" t="s">
        <v>180</v>
      </c>
    </row>
    <row r="107" spans="1:18" x14ac:dyDescent="0.25">
      <c r="A107" s="16" t="s">
        <v>268</v>
      </c>
      <c r="B107" s="17">
        <v>10112</v>
      </c>
      <c r="C107" s="17" t="s">
        <v>5</v>
      </c>
      <c r="D107" s="17">
        <v>1</v>
      </c>
      <c r="E107" s="17" t="s">
        <v>1</v>
      </c>
      <c r="F107" s="17">
        <v>11</v>
      </c>
      <c r="G107" s="17" t="s">
        <v>6</v>
      </c>
      <c r="H107" s="16" t="s">
        <v>189</v>
      </c>
      <c r="I107" s="18" t="s">
        <v>27</v>
      </c>
      <c r="J107" s="19">
        <v>43223</v>
      </c>
      <c r="K107" s="24"/>
      <c r="L107" s="21">
        <v>1236</v>
      </c>
      <c r="M107" s="48">
        <v>1716.54</v>
      </c>
      <c r="N107" s="22" t="s">
        <v>137</v>
      </c>
      <c r="O107" s="22" t="s">
        <v>174</v>
      </c>
      <c r="P107" s="23">
        <v>10</v>
      </c>
      <c r="Q107" s="17">
        <v>2022</v>
      </c>
      <c r="R107" s="23" t="s">
        <v>180</v>
      </c>
    </row>
    <row r="108" spans="1:18" x14ac:dyDescent="0.25">
      <c r="A108" s="5" t="s">
        <v>268</v>
      </c>
      <c r="B108" s="6">
        <v>10112</v>
      </c>
      <c r="C108" s="6" t="s">
        <v>5</v>
      </c>
      <c r="D108" s="6">
        <v>1</v>
      </c>
      <c r="E108" s="6" t="s">
        <v>1</v>
      </c>
      <c r="F108" s="6">
        <v>11</v>
      </c>
      <c r="G108" s="6" t="s">
        <v>6</v>
      </c>
      <c r="H108" s="5" t="s">
        <v>189</v>
      </c>
      <c r="I108" s="7" t="s">
        <v>28</v>
      </c>
      <c r="J108" s="13">
        <v>41581</v>
      </c>
      <c r="K108" s="32"/>
      <c r="L108" s="10">
        <v>1237</v>
      </c>
      <c r="M108" s="49">
        <v>1305.51</v>
      </c>
      <c r="N108" s="11" t="s">
        <v>2</v>
      </c>
      <c r="O108" s="11" t="s">
        <v>174</v>
      </c>
      <c r="P108" s="12" t="s">
        <v>2</v>
      </c>
      <c r="Q108" s="6">
        <v>2022</v>
      </c>
      <c r="R108" s="12" t="s">
        <v>2</v>
      </c>
    </row>
    <row r="109" spans="1:18" x14ac:dyDescent="0.25">
      <c r="A109" s="16" t="s">
        <v>268</v>
      </c>
      <c r="B109" s="17">
        <v>10112</v>
      </c>
      <c r="C109" s="17" t="s">
        <v>5</v>
      </c>
      <c r="D109" s="17">
        <v>1</v>
      </c>
      <c r="E109" s="17" t="s">
        <v>1</v>
      </c>
      <c r="F109" s="17">
        <v>11</v>
      </c>
      <c r="G109" s="17" t="s">
        <v>6</v>
      </c>
      <c r="H109" s="16" t="s">
        <v>189</v>
      </c>
      <c r="I109" s="18" t="s">
        <v>29</v>
      </c>
      <c r="J109" s="19">
        <v>42403</v>
      </c>
      <c r="K109" s="24"/>
      <c r="L109" s="21">
        <v>1238</v>
      </c>
      <c r="M109" s="48">
        <v>2174.54</v>
      </c>
      <c r="N109" s="22" t="s">
        <v>94</v>
      </c>
      <c r="O109" s="22" t="s">
        <v>174</v>
      </c>
      <c r="P109" s="23">
        <v>20</v>
      </c>
      <c r="Q109" s="17">
        <v>2022</v>
      </c>
      <c r="R109" s="23" t="s">
        <v>179</v>
      </c>
    </row>
    <row r="110" spans="1:18" x14ac:dyDescent="0.25">
      <c r="A110" s="5" t="s">
        <v>268</v>
      </c>
      <c r="B110" s="6">
        <v>10112</v>
      </c>
      <c r="C110" s="6" t="s">
        <v>5</v>
      </c>
      <c r="D110" s="6">
        <v>1</v>
      </c>
      <c r="E110" s="6" t="s">
        <v>1</v>
      </c>
      <c r="F110" s="6">
        <v>11</v>
      </c>
      <c r="G110" s="6" t="s">
        <v>6</v>
      </c>
      <c r="H110" s="5" t="s">
        <v>190</v>
      </c>
      <c r="I110" s="7" t="s">
        <v>30</v>
      </c>
      <c r="J110" s="13">
        <v>41673</v>
      </c>
      <c r="K110" s="32"/>
      <c r="L110" s="10">
        <v>1239</v>
      </c>
      <c r="M110" s="49">
        <v>2129.6999999999998</v>
      </c>
      <c r="N110" s="11" t="s">
        <v>134</v>
      </c>
      <c r="O110" s="11" t="s">
        <v>174</v>
      </c>
      <c r="P110" s="12">
        <v>40</v>
      </c>
      <c r="Q110" s="6">
        <v>2022</v>
      </c>
      <c r="R110" s="12" t="s">
        <v>180</v>
      </c>
    </row>
    <row r="111" spans="1:18" x14ac:dyDescent="0.25">
      <c r="A111" s="16" t="s">
        <v>268</v>
      </c>
      <c r="B111" s="17">
        <v>10112</v>
      </c>
      <c r="C111" s="17" t="s">
        <v>5</v>
      </c>
      <c r="D111" s="17">
        <v>1</v>
      </c>
      <c r="E111" s="17" t="s">
        <v>1</v>
      </c>
      <c r="F111" s="17">
        <v>11</v>
      </c>
      <c r="G111" s="17" t="s">
        <v>6</v>
      </c>
      <c r="H111" s="16" t="s">
        <v>190</v>
      </c>
      <c r="I111" s="18" t="s">
        <v>31</v>
      </c>
      <c r="J111" s="19">
        <v>38020</v>
      </c>
      <c r="K111" s="24"/>
      <c r="L111" s="21">
        <v>1240</v>
      </c>
      <c r="M111" s="48">
        <v>1716.54</v>
      </c>
      <c r="N111" s="22" t="s">
        <v>140</v>
      </c>
      <c r="O111" s="22" t="s">
        <v>174</v>
      </c>
      <c r="P111" s="23">
        <v>45</v>
      </c>
      <c r="Q111" s="17">
        <v>2022</v>
      </c>
      <c r="R111" s="23" t="s">
        <v>180</v>
      </c>
    </row>
    <row r="112" spans="1:18" x14ac:dyDescent="0.25">
      <c r="A112" s="5" t="s">
        <v>268</v>
      </c>
      <c r="B112" s="6">
        <v>10112</v>
      </c>
      <c r="C112" s="6" t="s">
        <v>5</v>
      </c>
      <c r="D112" s="6">
        <v>1</v>
      </c>
      <c r="E112" s="6" t="s">
        <v>1</v>
      </c>
      <c r="F112" s="6">
        <v>11</v>
      </c>
      <c r="G112" s="6" t="s">
        <v>6</v>
      </c>
      <c r="H112" s="5" t="s">
        <v>191</v>
      </c>
      <c r="I112" s="7" t="s">
        <v>32</v>
      </c>
      <c r="J112" s="8">
        <v>42110</v>
      </c>
      <c r="K112" s="9"/>
      <c r="L112" s="10">
        <v>1241</v>
      </c>
      <c r="M112" s="49">
        <v>1892.11</v>
      </c>
      <c r="N112" s="11" t="s">
        <v>140</v>
      </c>
      <c r="O112" s="11" t="s">
        <v>175</v>
      </c>
      <c r="P112" s="12">
        <v>45</v>
      </c>
      <c r="Q112" s="6">
        <v>2022</v>
      </c>
      <c r="R112" s="12" t="s">
        <v>180</v>
      </c>
    </row>
    <row r="113" spans="1:18" x14ac:dyDescent="0.25">
      <c r="A113" s="16" t="s">
        <v>268</v>
      </c>
      <c r="B113" s="17">
        <v>10112</v>
      </c>
      <c r="C113" s="17" t="s">
        <v>5</v>
      </c>
      <c r="D113" s="17">
        <v>1</v>
      </c>
      <c r="E113" s="17" t="s">
        <v>1</v>
      </c>
      <c r="F113" s="17">
        <v>11</v>
      </c>
      <c r="G113" s="17" t="s">
        <v>6</v>
      </c>
      <c r="H113" s="16" t="s">
        <v>189</v>
      </c>
      <c r="I113" s="18" t="s">
        <v>28</v>
      </c>
      <c r="J113" s="19">
        <v>41581</v>
      </c>
      <c r="K113" s="24"/>
      <c r="L113" s="21">
        <v>1237</v>
      </c>
      <c r="M113" s="48">
        <v>1305.51</v>
      </c>
      <c r="N113" s="22" t="s">
        <v>134</v>
      </c>
      <c r="O113" s="22" t="s">
        <v>174</v>
      </c>
      <c r="P113" s="23">
        <v>40</v>
      </c>
      <c r="Q113" s="17">
        <v>2022</v>
      </c>
      <c r="R113" s="23" t="s">
        <v>180</v>
      </c>
    </row>
    <row r="114" spans="1:18" x14ac:dyDescent="0.25">
      <c r="A114" s="5" t="s">
        <v>268</v>
      </c>
      <c r="B114" s="6">
        <v>10112</v>
      </c>
      <c r="C114" s="6" t="s">
        <v>5</v>
      </c>
      <c r="D114" s="6">
        <v>1</v>
      </c>
      <c r="E114" s="6" t="s">
        <v>1</v>
      </c>
      <c r="F114" s="6">
        <v>11</v>
      </c>
      <c r="G114" s="6" t="s">
        <v>6</v>
      </c>
      <c r="H114" s="5" t="s">
        <v>192</v>
      </c>
      <c r="I114" s="7" t="s">
        <v>33</v>
      </c>
      <c r="J114" s="8">
        <v>44503</v>
      </c>
      <c r="K114" s="32"/>
      <c r="L114" s="10">
        <v>1243</v>
      </c>
      <c r="M114" s="49">
        <v>1716.54</v>
      </c>
      <c r="N114" s="11" t="s">
        <v>2</v>
      </c>
      <c r="O114" s="11" t="s">
        <v>174</v>
      </c>
      <c r="P114" s="12" t="s">
        <v>2</v>
      </c>
      <c r="Q114" s="6">
        <v>2022</v>
      </c>
      <c r="R114" s="12" t="s">
        <v>2</v>
      </c>
    </row>
    <row r="115" spans="1:18" x14ac:dyDescent="0.25">
      <c r="A115" s="16" t="s">
        <v>268</v>
      </c>
      <c r="B115" s="17">
        <v>10112</v>
      </c>
      <c r="C115" s="17" t="s">
        <v>5</v>
      </c>
      <c r="D115" s="17">
        <v>1</v>
      </c>
      <c r="E115" s="17" t="s">
        <v>1</v>
      </c>
      <c r="F115" s="17">
        <v>11</v>
      </c>
      <c r="G115" s="17" t="s">
        <v>6</v>
      </c>
      <c r="H115" s="16" t="s">
        <v>195</v>
      </c>
      <c r="I115" s="18" t="s">
        <v>34</v>
      </c>
      <c r="J115" s="19">
        <v>44107</v>
      </c>
      <c r="K115" s="24"/>
      <c r="L115" s="21">
        <v>1244</v>
      </c>
      <c r="M115" s="48">
        <v>1473.39</v>
      </c>
      <c r="N115" s="22" t="s">
        <v>134</v>
      </c>
      <c r="O115" s="22" t="s">
        <v>175</v>
      </c>
      <c r="P115" s="23">
        <v>40</v>
      </c>
      <c r="Q115" s="17">
        <v>2022</v>
      </c>
      <c r="R115" s="23" t="s">
        <v>180</v>
      </c>
    </row>
    <row r="116" spans="1:18" x14ac:dyDescent="0.25">
      <c r="A116" s="5" t="s">
        <v>268</v>
      </c>
      <c r="B116" s="6">
        <v>10112</v>
      </c>
      <c r="C116" s="6" t="s">
        <v>5</v>
      </c>
      <c r="D116" s="6">
        <v>1</v>
      </c>
      <c r="E116" s="6" t="s">
        <v>1</v>
      </c>
      <c r="F116" s="6">
        <v>11</v>
      </c>
      <c r="G116" s="6" t="s">
        <v>6</v>
      </c>
      <c r="H116" s="5" t="s">
        <v>195</v>
      </c>
      <c r="I116" s="7" t="s">
        <v>35</v>
      </c>
      <c r="J116" s="8">
        <v>43254</v>
      </c>
      <c r="K116" s="32"/>
      <c r="L116" s="10">
        <v>1245</v>
      </c>
      <c r="M116" s="49">
        <v>2129.6999999999998</v>
      </c>
      <c r="N116" s="11" t="s">
        <v>134</v>
      </c>
      <c r="O116" s="11" t="s">
        <v>175</v>
      </c>
      <c r="P116" s="12">
        <v>40</v>
      </c>
      <c r="Q116" s="6">
        <v>2022</v>
      </c>
      <c r="R116" s="12" t="s">
        <v>180</v>
      </c>
    </row>
    <row r="117" spans="1:18" x14ac:dyDescent="0.25">
      <c r="A117" s="16" t="s">
        <v>268</v>
      </c>
      <c r="B117" s="17">
        <v>10112</v>
      </c>
      <c r="C117" s="17" t="s">
        <v>5</v>
      </c>
      <c r="D117" s="17">
        <v>1</v>
      </c>
      <c r="E117" s="17" t="s">
        <v>1</v>
      </c>
      <c r="F117" s="17">
        <v>11</v>
      </c>
      <c r="G117" s="17" t="s">
        <v>6</v>
      </c>
      <c r="H117" s="16" t="s">
        <v>195</v>
      </c>
      <c r="I117" s="18" t="s">
        <v>36</v>
      </c>
      <c r="J117" s="19">
        <v>41308</v>
      </c>
      <c r="K117" s="24"/>
      <c r="L117" s="21">
        <v>1246</v>
      </c>
      <c r="M117" s="48">
        <v>1134.43</v>
      </c>
      <c r="N117" s="22" t="s">
        <v>139</v>
      </c>
      <c r="O117" s="22" t="s">
        <v>174</v>
      </c>
      <c r="P117" s="23">
        <v>40</v>
      </c>
      <c r="Q117" s="17">
        <v>2022</v>
      </c>
      <c r="R117" s="23" t="s">
        <v>181</v>
      </c>
    </row>
    <row r="118" spans="1:18" x14ac:dyDescent="0.25">
      <c r="A118" s="5" t="s">
        <v>268</v>
      </c>
      <c r="B118" s="6">
        <v>10112</v>
      </c>
      <c r="C118" s="6" t="s">
        <v>5</v>
      </c>
      <c r="D118" s="6">
        <v>1</v>
      </c>
      <c r="E118" s="6" t="s">
        <v>1</v>
      </c>
      <c r="F118" s="6">
        <v>11</v>
      </c>
      <c r="G118" s="6" t="s">
        <v>6</v>
      </c>
      <c r="H118" s="5" t="s">
        <v>189</v>
      </c>
      <c r="I118" s="7" t="s">
        <v>37</v>
      </c>
      <c r="J118" s="8">
        <v>42188</v>
      </c>
      <c r="K118" s="32"/>
      <c r="L118" s="10">
        <v>1247</v>
      </c>
      <c r="M118" s="49">
        <v>2129.6999999999998</v>
      </c>
      <c r="N118" s="11" t="s">
        <v>139</v>
      </c>
      <c r="O118" s="11" t="s">
        <v>175</v>
      </c>
      <c r="P118" s="12">
        <v>40</v>
      </c>
      <c r="Q118" s="6">
        <v>2022</v>
      </c>
      <c r="R118" s="12" t="s">
        <v>181</v>
      </c>
    </row>
    <row r="119" spans="1:18" x14ac:dyDescent="0.25">
      <c r="A119" s="16" t="s">
        <v>268</v>
      </c>
      <c r="B119" s="17">
        <v>10112</v>
      </c>
      <c r="C119" s="17" t="s">
        <v>5</v>
      </c>
      <c r="D119" s="17">
        <v>1</v>
      </c>
      <c r="E119" s="17" t="s">
        <v>1</v>
      </c>
      <c r="F119" s="17">
        <v>11</v>
      </c>
      <c r="G119" s="17" t="s">
        <v>6</v>
      </c>
      <c r="H119" s="16" t="s">
        <v>189</v>
      </c>
      <c r="I119" s="18" t="s">
        <v>38</v>
      </c>
      <c r="J119" s="19">
        <v>40453</v>
      </c>
      <c r="K119" s="24"/>
      <c r="L119" s="21">
        <v>1248</v>
      </c>
      <c r="M119" s="48">
        <v>2129.6999999999998</v>
      </c>
      <c r="N119" s="22" t="s">
        <v>2</v>
      </c>
      <c r="O119" s="22" t="s">
        <v>174</v>
      </c>
      <c r="P119" s="23" t="s">
        <v>2</v>
      </c>
      <c r="Q119" s="17">
        <v>2022</v>
      </c>
      <c r="R119" s="23" t="s">
        <v>2</v>
      </c>
    </row>
    <row r="120" spans="1:18" x14ac:dyDescent="0.25">
      <c r="A120" s="5" t="s">
        <v>268</v>
      </c>
      <c r="B120" s="6">
        <v>10112</v>
      </c>
      <c r="C120" s="6" t="s">
        <v>5</v>
      </c>
      <c r="D120" s="6">
        <v>1</v>
      </c>
      <c r="E120" s="6" t="s">
        <v>1</v>
      </c>
      <c r="F120" s="6">
        <v>11</v>
      </c>
      <c r="G120" s="6" t="s">
        <v>6</v>
      </c>
      <c r="H120" s="5" t="s">
        <v>193</v>
      </c>
      <c r="I120" s="7" t="s">
        <v>39</v>
      </c>
      <c r="J120" s="8">
        <v>42279</v>
      </c>
      <c r="K120" s="32"/>
      <c r="L120" s="10">
        <v>1249</v>
      </c>
      <c r="M120" s="49">
        <v>1716.54</v>
      </c>
      <c r="N120" s="11" t="s">
        <v>134</v>
      </c>
      <c r="O120" s="11" t="s">
        <v>175</v>
      </c>
      <c r="P120" s="12">
        <v>40</v>
      </c>
      <c r="Q120" s="6">
        <v>2022</v>
      </c>
      <c r="R120" s="12" t="s">
        <v>180</v>
      </c>
    </row>
    <row r="121" spans="1:18" x14ac:dyDescent="0.25">
      <c r="A121" s="5" t="s">
        <v>268</v>
      </c>
      <c r="B121" s="6">
        <v>10112</v>
      </c>
      <c r="C121" s="6" t="s">
        <v>5</v>
      </c>
      <c r="D121" s="6">
        <v>1</v>
      </c>
      <c r="E121" s="6" t="s">
        <v>1</v>
      </c>
      <c r="F121" s="6">
        <v>11</v>
      </c>
      <c r="G121" s="6" t="s">
        <v>6</v>
      </c>
      <c r="H121" s="5" t="s">
        <v>193</v>
      </c>
      <c r="I121" s="7" t="s">
        <v>41</v>
      </c>
      <c r="J121" s="8">
        <v>41002</v>
      </c>
      <c r="K121" s="7"/>
      <c r="L121" s="10">
        <v>1251</v>
      </c>
      <c r="M121" s="49">
        <v>1473.39</v>
      </c>
      <c r="N121" s="11" t="s">
        <v>135</v>
      </c>
      <c r="O121" s="11" t="s">
        <v>174</v>
      </c>
      <c r="P121" s="12">
        <v>60</v>
      </c>
      <c r="Q121" s="6">
        <v>2022</v>
      </c>
      <c r="R121" s="12" t="s">
        <v>181</v>
      </c>
    </row>
    <row r="122" spans="1:18" x14ac:dyDescent="0.25">
      <c r="A122" s="16" t="s">
        <v>268</v>
      </c>
      <c r="B122" s="17">
        <v>10112</v>
      </c>
      <c r="C122" s="17" t="s">
        <v>5</v>
      </c>
      <c r="D122" s="17">
        <v>1</v>
      </c>
      <c r="E122" s="17" t="s">
        <v>1</v>
      </c>
      <c r="F122" s="17">
        <v>11</v>
      </c>
      <c r="G122" s="17" t="s">
        <v>6</v>
      </c>
      <c r="H122" s="16" t="s">
        <v>193</v>
      </c>
      <c r="I122" s="18" t="s">
        <v>39</v>
      </c>
      <c r="J122" s="19">
        <v>42279</v>
      </c>
      <c r="K122" s="20"/>
      <c r="L122" s="21">
        <v>1249</v>
      </c>
      <c r="M122" s="48">
        <v>1716.54</v>
      </c>
      <c r="N122" s="22" t="s">
        <v>135</v>
      </c>
      <c r="O122" s="22" t="s">
        <v>174</v>
      </c>
      <c r="P122" s="23">
        <v>60</v>
      </c>
      <c r="Q122" s="17">
        <v>2022</v>
      </c>
      <c r="R122" s="23" t="s">
        <v>181</v>
      </c>
    </row>
    <row r="123" spans="1:18" x14ac:dyDescent="0.25">
      <c r="A123" s="5" t="s">
        <v>268</v>
      </c>
      <c r="B123" s="6">
        <v>10112</v>
      </c>
      <c r="C123" s="6" t="s">
        <v>5</v>
      </c>
      <c r="D123" s="6">
        <v>1</v>
      </c>
      <c r="E123" s="6" t="s">
        <v>1</v>
      </c>
      <c r="F123" s="6">
        <v>11</v>
      </c>
      <c r="G123" s="6" t="s">
        <v>6</v>
      </c>
      <c r="H123" s="5" t="s">
        <v>143</v>
      </c>
      <c r="I123" s="5" t="s">
        <v>42</v>
      </c>
      <c r="J123" s="8">
        <v>40971</v>
      </c>
      <c r="K123" s="7"/>
      <c r="L123" s="10">
        <v>1253</v>
      </c>
      <c r="M123" s="49">
        <v>1716.54</v>
      </c>
      <c r="N123" s="11" t="s">
        <v>2</v>
      </c>
      <c r="O123" s="11" t="s">
        <v>174</v>
      </c>
      <c r="P123" s="12" t="s">
        <v>2</v>
      </c>
      <c r="Q123" s="6">
        <v>2022</v>
      </c>
      <c r="R123" s="12" t="s">
        <v>2</v>
      </c>
    </row>
    <row r="124" spans="1:18" x14ac:dyDescent="0.25">
      <c r="A124" s="16" t="s">
        <v>268</v>
      </c>
      <c r="B124" s="17">
        <v>10112</v>
      </c>
      <c r="C124" s="17" t="s">
        <v>5</v>
      </c>
      <c r="D124" s="17">
        <v>1</v>
      </c>
      <c r="E124" s="17" t="s">
        <v>1</v>
      </c>
      <c r="F124" s="17">
        <v>11</v>
      </c>
      <c r="G124" s="17" t="s">
        <v>6</v>
      </c>
      <c r="H124" s="16" t="s">
        <v>143</v>
      </c>
      <c r="I124" s="18" t="s">
        <v>43</v>
      </c>
      <c r="J124" s="19">
        <v>38901</v>
      </c>
      <c r="K124" s="20"/>
      <c r="L124" s="21">
        <v>1254</v>
      </c>
      <c r="M124" s="48">
        <v>1716.54</v>
      </c>
      <c r="N124" s="22" t="s">
        <v>136</v>
      </c>
      <c r="O124" s="22" t="s">
        <v>174</v>
      </c>
      <c r="P124" s="23">
        <v>20</v>
      </c>
      <c r="Q124" s="17">
        <v>2022</v>
      </c>
      <c r="R124" s="23" t="s">
        <v>179</v>
      </c>
    </row>
    <row r="125" spans="1:18" x14ac:dyDescent="0.25">
      <c r="A125" s="5" t="s">
        <v>268</v>
      </c>
      <c r="B125" s="6">
        <v>10112</v>
      </c>
      <c r="C125" s="6" t="s">
        <v>5</v>
      </c>
      <c r="D125" s="6">
        <v>1</v>
      </c>
      <c r="E125" s="6" t="s">
        <v>1</v>
      </c>
      <c r="F125" s="6">
        <v>11</v>
      </c>
      <c r="G125" s="6" t="s">
        <v>6</v>
      </c>
      <c r="H125" s="5" t="s">
        <v>143</v>
      </c>
      <c r="I125" s="14" t="s">
        <v>50</v>
      </c>
      <c r="J125" s="13">
        <v>44015</v>
      </c>
      <c r="K125" s="7"/>
      <c r="L125" s="10">
        <v>1261</v>
      </c>
      <c r="M125" s="49">
        <v>2129.6999999999998</v>
      </c>
      <c r="N125" s="11" t="s">
        <v>2</v>
      </c>
      <c r="O125" s="11" t="s">
        <v>174</v>
      </c>
      <c r="P125" s="12" t="s">
        <v>2</v>
      </c>
      <c r="Q125" s="6">
        <v>2022</v>
      </c>
      <c r="R125" s="12" t="s">
        <v>2</v>
      </c>
    </row>
    <row r="126" spans="1:18" x14ac:dyDescent="0.25">
      <c r="A126" s="16" t="s">
        <v>268</v>
      </c>
      <c r="B126" s="17">
        <v>10112</v>
      </c>
      <c r="C126" s="17" t="s">
        <v>5</v>
      </c>
      <c r="D126" s="17">
        <v>1</v>
      </c>
      <c r="E126" s="17" t="s">
        <v>1</v>
      </c>
      <c r="F126" s="17">
        <v>11</v>
      </c>
      <c r="G126" s="17" t="s">
        <v>6</v>
      </c>
      <c r="H126" s="16" t="s">
        <v>143</v>
      </c>
      <c r="I126" s="18" t="s">
        <v>52</v>
      </c>
      <c r="J126" s="19">
        <v>42258</v>
      </c>
      <c r="K126" s="20"/>
      <c r="L126" s="21">
        <v>1263</v>
      </c>
      <c r="M126" s="48">
        <v>1999.13</v>
      </c>
      <c r="N126" s="22" t="s">
        <v>136</v>
      </c>
      <c r="O126" s="22" t="s">
        <v>174</v>
      </c>
      <c r="P126" s="23">
        <v>20</v>
      </c>
      <c r="Q126" s="17">
        <v>2022</v>
      </c>
      <c r="R126" s="23" t="s">
        <v>179</v>
      </c>
    </row>
    <row r="127" spans="1:18" x14ac:dyDescent="0.25">
      <c r="A127" s="5" t="s">
        <v>268</v>
      </c>
      <c r="B127" s="6">
        <v>10112</v>
      </c>
      <c r="C127" s="6" t="s">
        <v>5</v>
      </c>
      <c r="D127" s="6">
        <v>1</v>
      </c>
      <c r="E127" s="6" t="s">
        <v>1</v>
      </c>
      <c r="F127" s="6">
        <v>11</v>
      </c>
      <c r="G127" s="6" t="s">
        <v>6</v>
      </c>
      <c r="H127" s="5" t="s">
        <v>143</v>
      </c>
      <c r="I127" s="7" t="s">
        <v>53</v>
      </c>
      <c r="J127" s="13">
        <v>40697</v>
      </c>
      <c r="K127" s="7"/>
      <c r="L127" s="10">
        <v>1264</v>
      </c>
      <c r="M127" s="49">
        <v>1473.39</v>
      </c>
      <c r="N127" s="11" t="s">
        <v>136</v>
      </c>
      <c r="O127" s="11" t="s">
        <v>175</v>
      </c>
      <c r="P127" s="12">
        <v>20</v>
      </c>
      <c r="Q127" s="6">
        <v>2022</v>
      </c>
      <c r="R127" s="12" t="s">
        <v>180</v>
      </c>
    </row>
    <row r="128" spans="1:18" x14ac:dyDescent="0.25">
      <c r="A128" s="16" t="s">
        <v>268</v>
      </c>
      <c r="B128" s="17">
        <v>10112</v>
      </c>
      <c r="C128" s="17" t="s">
        <v>5</v>
      </c>
      <c r="D128" s="17">
        <v>1</v>
      </c>
      <c r="E128" s="17" t="s">
        <v>1</v>
      </c>
      <c r="F128" s="17">
        <v>11</v>
      </c>
      <c r="G128" s="17" t="s">
        <v>6</v>
      </c>
      <c r="H128" s="16" t="s">
        <v>143</v>
      </c>
      <c r="I128" s="18" t="s">
        <v>54</v>
      </c>
      <c r="J128" s="19">
        <v>40726</v>
      </c>
      <c r="K128" s="20"/>
      <c r="L128" s="21">
        <v>1265</v>
      </c>
      <c r="M128" s="48">
        <v>1473.39</v>
      </c>
      <c r="N128" s="22" t="s">
        <v>136</v>
      </c>
      <c r="O128" s="22" t="s">
        <v>174</v>
      </c>
      <c r="P128" s="23">
        <v>20</v>
      </c>
      <c r="Q128" s="17">
        <v>2022</v>
      </c>
      <c r="R128" s="23" t="s">
        <v>181</v>
      </c>
    </row>
    <row r="129" spans="1:18" x14ac:dyDescent="0.25">
      <c r="A129" s="5" t="s">
        <v>268</v>
      </c>
      <c r="B129" s="6">
        <v>10112</v>
      </c>
      <c r="C129" s="6" t="s">
        <v>5</v>
      </c>
      <c r="D129" s="6">
        <v>1</v>
      </c>
      <c r="E129" s="6" t="s">
        <v>1</v>
      </c>
      <c r="F129" s="6">
        <v>11</v>
      </c>
      <c r="G129" s="6" t="s">
        <v>6</v>
      </c>
      <c r="H129" s="5" t="s">
        <v>143</v>
      </c>
      <c r="I129" s="7" t="s">
        <v>58</v>
      </c>
      <c r="J129" s="13">
        <v>40726</v>
      </c>
      <c r="K129" s="7"/>
      <c r="L129" s="10">
        <v>1269</v>
      </c>
      <c r="M129" s="49">
        <v>1716.54</v>
      </c>
      <c r="N129" s="11" t="s">
        <v>2</v>
      </c>
      <c r="O129" s="11" t="s">
        <v>174</v>
      </c>
      <c r="P129" s="12" t="s">
        <v>2</v>
      </c>
      <c r="Q129" s="6">
        <v>2022</v>
      </c>
      <c r="R129" s="12" t="s">
        <v>2</v>
      </c>
    </row>
    <row r="130" spans="1:18" x14ac:dyDescent="0.25">
      <c r="A130" s="16" t="s">
        <v>268</v>
      </c>
      <c r="B130" s="17">
        <v>10112</v>
      </c>
      <c r="C130" s="17" t="s">
        <v>5</v>
      </c>
      <c r="D130" s="17">
        <v>1</v>
      </c>
      <c r="E130" s="17" t="s">
        <v>1</v>
      </c>
      <c r="F130" s="17">
        <v>11</v>
      </c>
      <c r="G130" s="17" t="s">
        <v>6</v>
      </c>
      <c r="H130" s="16" t="s">
        <v>143</v>
      </c>
      <c r="I130" s="18" t="s">
        <v>49</v>
      </c>
      <c r="J130" s="19">
        <v>41092</v>
      </c>
      <c r="K130" s="20"/>
      <c r="L130" s="21">
        <v>1260</v>
      </c>
      <c r="M130" s="48">
        <v>1716.54</v>
      </c>
      <c r="N130" s="22" t="s">
        <v>140</v>
      </c>
      <c r="O130" s="22" t="s">
        <v>174</v>
      </c>
      <c r="P130" s="23">
        <v>45</v>
      </c>
      <c r="Q130" s="17">
        <v>2022</v>
      </c>
      <c r="R130" s="23" t="s">
        <v>180</v>
      </c>
    </row>
    <row r="131" spans="1:18" x14ac:dyDescent="0.25">
      <c r="A131" s="5" t="s">
        <v>268</v>
      </c>
      <c r="B131" s="6">
        <v>10112</v>
      </c>
      <c r="C131" s="6" t="s">
        <v>5</v>
      </c>
      <c r="D131" s="6">
        <v>1</v>
      </c>
      <c r="E131" s="6" t="s">
        <v>1</v>
      </c>
      <c r="F131" s="6">
        <v>11</v>
      </c>
      <c r="G131" s="6" t="s">
        <v>6</v>
      </c>
      <c r="H131" s="5" t="s">
        <v>143</v>
      </c>
      <c r="I131" s="7" t="s">
        <v>59</v>
      </c>
      <c r="J131" s="8">
        <v>41335</v>
      </c>
      <c r="K131" s="13"/>
      <c r="L131" s="10">
        <v>1270</v>
      </c>
      <c r="M131" s="49">
        <v>1716.54</v>
      </c>
      <c r="N131" s="11" t="s">
        <v>136</v>
      </c>
      <c r="O131" s="11" t="s">
        <v>174</v>
      </c>
      <c r="P131" s="12">
        <v>20</v>
      </c>
      <c r="Q131" s="6">
        <v>2022</v>
      </c>
      <c r="R131" s="12" t="s">
        <v>181</v>
      </c>
    </row>
    <row r="132" spans="1:18" x14ac:dyDescent="0.25">
      <c r="A132" s="16" t="s">
        <v>268</v>
      </c>
      <c r="B132" s="17">
        <v>10112</v>
      </c>
      <c r="C132" s="17" t="s">
        <v>5</v>
      </c>
      <c r="D132" s="17">
        <v>1</v>
      </c>
      <c r="E132" s="17" t="s">
        <v>1</v>
      </c>
      <c r="F132" s="17">
        <v>11</v>
      </c>
      <c r="G132" s="17" t="s">
        <v>6</v>
      </c>
      <c r="H132" s="16" t="s">
        <v>143</v>
      </c>
      <c r="I132" s="18" t="s">
        <v>46</v>
      </c>
      <c r="J132" s="19">
        <v>43526</v>
      </c>
      <c r="K132" s="20"/>
      <c r="L132" s="21">
        <v>1257</v>
      </c>
      <c r="M132" s="48">
        <v>1716.54</v>
      </c>
      <c r="N132" s="22" t="s">
        <v>136</v>
      </c>
      <c r="O132" s="22" t="s">
        <v>174</v>
      </c>
      <c r="P132" s="23">
        <v>20</v>
      </c>
      <c r="Q132" s="17">
        <v>2022</v>
      </c>
      <c r="R132" s="23" t="s">
        <v>180</v>
      </c>
    </row>
    <row r="133" spans="1:18" x14ac:dyDescent="0.25">
      <c r="A133" s="16" t="s">
        <v>268</v>
      </c>
      <c r="B133" s="17">
        <v>10112</v>
      </c>
      <c r="C133" s="17" t="s">
        <v>5</v>
      </c>
      <c r="D133" s="17">
        <v>1</v>
      </c>
      <c r="E133" s="17" t="s">
        <v>1</v>
      </c>
      <c r="F133" s="17">
        <v>11</v>
      </c>
      <c r="G133" s="17" t="s">
        <v>6</v>
      </c>
      <c r="H133" s="16" t="s">
        <v>143</v>
      </c>
      <c r="I133" s="18" t="s">
        <v>55</v>
      </c>
      <c r="J133" s="19">
        <v>43771</v>
      </c>
      <c r="K133" s="24"/>
      <c r="L133" s="21">
        <v>1266</v>
      </c>
      <c r="M133" s="48">
        <v>1716.54</v>
      </c>
      <c r="N133" s="22" t="s">
        <v>136</v>
      </c>
      <c r="O133" s="22" t="s">
        <v>175</v>
      </c>
      <c r="P133" s="23">
        <v>20</v>
      </c>
      <c r="Q133" s="17">
        <v>2022</v>
      </c>
      <c r="R133" s="23" t="s">
        <v>181</v>
      </c>
    </row>
    <row r="134" spans="1:18" x14ac:dyDescent="0.25">
      <c r="A134" s="5" t="s">
        <v>268</v>
      </c>
      <c r="B134" s="6">
        <v>10112</v>
      </c>
      <c r="C134" s="6" t="s">
        <v>5</v>
      </c>
      <c r="D134" s="6">
        <v>1</v>
      </c>
      <c r="E134" s="6" t="s">
        <v>1</v>
      </c>
      <c r="F134" s="6">
        <v>11</v>
      </c>
      <c r="G134" s="6" t="s">
        <v>6</v>
      </c>
      <c r="H134" s="5" t="s">
        <v>143</v>
      </c>
      <c r="I134" s="7" t="s">
        <v>48</v>
      </c>
      <c r="J134" s="8">
        <v>43679</v>
      </c>
      <c r="K134" s="32"/>
      <c r="L134" s="10">
        <v>1259</v>
      </c>
      <c r="M134" s="49">
        <v>1716.54</v>
      </c>
      <c r="N134" s="11" t="s">
        <v>136</v>
      </c>
      <c r="O134" s="11" t="s">
        <v>174</v>
      </c>
      <c r="P134" s="12">
        <v>20</v>
      </c>
      <c r="Q134" s="6">
        <v>2022</v>
      </c>
      <c r="R134" s="12" t="s">
        <v>181</v>
      </c>
    </row>
    <row r="135" spans="1:18" x14ac:dyDescent="0.25">
      <c r="A135" s="16" t="s">
        <v>268</v>
      </c>
      <c r="B135" s="17">
        <v>10112</v>
      </c>
      <c r="C135" s="17" t="s">
        <v>5</v>
      </c>
      <c r="D135" s="17">
        <v>1</v>
      </c>
      <c r="E135" s="17" t="s">
        <v>1</v>
      </c>
      <c r="F135" s="17">
        <v>11</v>
      </c>
      <c r="G135" s="17" t="s">
        <v>6</v>
      </c>
      <c r="H135" s="16" t="s">
        <v>143</v>
      </c>
      <c r="I135" s="18" t="s">
        <v>40</v>
      </c>
      <c r="J135" s="19">
        <v>43740</v>
      </c>
      <c r="K135" s="24"/>
      <c r="L135" s="21">
        <v>1250</v>
      </c>
      <c r="M135" s="48">
        <v>1716.54</v>
      </c>
      <c r="N135" s="22" t="s">
        <v>134</v>
      </c>
      <c r="O135" s="22" t="s">
        <v>174</v>
      </c>
      <c r="P135" s="23">
        <v>40</v>
      </c>
      <c r="Q135" s="17">
        <v>2022</v>
      </c>
      <c r="R135" s="23" t="s">
        <v>180</v>
      </c>
    </row>
    <row r="136" spans="1:18" x14ac:dyDescent="0.25">
      <c r="A136" s="5" t="s">
        <v>268</v>
      </c>
      <c r="B136" s="6">
        <v>10112</v>
      </c>
      <c r="C136" s="6" t="s">
        <v>5</v>
      </c>
      <c r="D136" s="6">
        <v>1</v>
      </c>
      <c r="E136" s="6" t="s">
        <v>1</v>
      </c>
      <c r="F136" s="6">
        <v>11</v>
      </c>
      <c r="G136" s="6" t="s">
        <v>6</v>
      </c>
      <c r="H136" s="5" t="s">
        <v>143</v>
      </c>
      <c r="I136" s="7" t="s">
        <v>57</v>
      </c>
      <c r="J136" s="8">
        <v>43801</v>
      </c>
      <c r="K136" s="32"/>
      <c r="L136" s="10">
        <v>1268</v>
      </c>
      <c r="M136" s="49">
        <v>1716.54</v>
      </c>
      <c r="N136" s="11" t="s">
        <v>136</v>
      </c>
      <c r="O136" s="11" t="s">
        <v>175</v>
      </c>
      <c r="P136" s="12">
        <v>20</v>
      </c>
      <c r="Q136" s="6">
        <v>2022</v>
      </c>
      <c r="R136" s="12" t="s">
        <v>180</v>
      </c>
    </row>
    <row r="137" spans="1:18" x14ac:dyDescent="0.25">
      <c r="A137" s="5" t="s">
        <v>268</v>
      </c>
      <c r="B137" s="6">
        <v>10112</v>
      </c>
      <c r="C137" s="6" t="s">
        <v>5</v>
      </c>
      <c r="D137" s="6">
        <v>1</v>
      </c>
      <c r="E137" s="6" t="s">
        <v>1</v>
      </c>
      <c r="F137" s="6">
        <v>11</v>
      </c>
      <c r="G137" s="6" t="s">
        <v>6</v>
      </c>
      <c r="H137" s="5" t="s">
        <v>194</v>
      </c>
      <c r="I137" s="7" t="s">
        <v>60</v>
      </c>
      <c r="J137" s="8">
        <v>42585</v>
      </c>
      <c r="K137" s="7"/>
      <c r="L137" s="10">
        <v>1271</v>
      </c>
      <c r="M137" s="49">
        <v>1716.54</v>
      </c>
      <c r="N137" s="11" t="s">
        <v>136</v>
      </c>
      <c r="O137" s="11" t="s">
        <v>175</v>
      </c>
      <c r="P137" s="12">
        <v>20</v>
      </c>
      <c r="Q137" s="6">
        <v>2022</v>
      </c>
      <c r="R137" s="12" t="s">
        <v>179</v>
      </c>
    </row>
    <row r="138" spans="1:18" x14ac:dyDescent="0.25">
      <c r="A138" s="16" t="s">
        <v>268</v>
      </c>
      <c r="B138" s="17">
        <v>10112</v>
      </c>
      <c r="C138" s="17" t="s">
        <v>5</v>
      </c>
      <c r="D138" s="17">
        <v>1</v>
      </c>
      <c r="E138" s="17" t="s">
        <v>1</v>
      </c>
      <c r="F138" s="17">
        <v>11</v>
      </c>
      <c r="G138" s="17" t="s">
        <v>6</v>
      </c>
      <c r="H138" s="16" t="s">
        <v>195</v>
      </c>
      <c r="I138" s="18" t="s">
        <v>61</v>
      </c>
      <c r="J138" s="19">
        <v>42585</v>
      </c>
      <c r="K138" s="20"/>
      <c r="L138" s="21">
        <v>1272</v>
      </c>
      <c r="M138" s="48">
        <v>2129.6999999999998</v>
      </c>
      <c r="N138" s="22" t="s">
        <v>136</v>
      </c>
      <c r="O138" s="22" t="s">
        <v>174</v>
      </c>
      <c r="P138" s="23">
        <v>20</v>
      </c>
      <c r="Q138" s="17">
        <v>2022</v>
      </c>
      <c r="R138" s="23" t="s">
        <v>180</v>
      </c>
    </row>
    <row r="139" spans="1:18" x14ac:dyDescent="0.25">
      <c r="A139" s="5" t="s">
        <v>268</v>
      </c>
      <c r="B139" s="6">
        <v>10112</v>
      </c>
      <c r="C139" s="6" t="s">
        <v>5</v>
      </c>
      <c r="D139" s="6">
        <v>1</v>
      </c>
      <c r="E139" s="6" t="s">
        <v>1</v>
      </c>
      <c r="F139" s="6">
        <v>11</v>
      </c>
      <c r="G139" s="6" t="s">
        <v>6</v>
      </c>
      <c r="H139" s="5" t="s">
        <v>143</v>
      </c>
      <c r="I139" s="7" t="s">
        <v>62</v>
      </c>
      <c r="J139" s="8">
        <v>41641</v>
      </c>
      <c r="K139" s="7"/>
      <c r="L139" s="10">
        <v>1273</v>
      </c>
      <c r="M139" s="49">
        <v>1352.09</v>
      </c>
      <c r="N139" s="11" t="s">
        <v>2</v>
      </c>
      <c r="O139" s="11" t="s">
        <v>174</v>
      </c>
      <c r="P139" s="12" t="s">
        <v>2</v>
      </c>
      <c r="Q139" s="6">
        <v>2022</v>
      </c>
      <c r="R139" s="12" t="s">
        <v>2</v>
      </c>
    </row>
    <row r="140" spans="1:18" x14ac:dyDescent="0.25">
      <c r="A140" s="16" t="s">
        <v>268</v>
      </c>
      <c r="B140" s="17">
        <v>10112</v>
      </c>
      <c r="C140" s="17" t="s">
        <v>5</v>
      </c>
      <c r="D140" s="17">
        <v>1</v>
      </c>
      <c r="E140" s="17" t="s">
        <v>1</v>
      </c>
      <c r="F140" s="17">
        <v>11</v>
      </c>
      <c r="G140" s="17" t="s">
        <v>6</v>
      </c>
      <c r="H140" s="16" t="s">
        <v>195</v>
      </c>
      <c r="I140" s="18" t="s">
        <v>63</v>
      </c>
      <c r="J140" s="19">
        <v>39694</v>
      </c>
      <c r="K140" s="20"/>
      <c r="L140" s="21">
        <v>1274</v>
      </c>
      <c r="M140" s="48">
        <v>2129.6999999999998</v>
      </c>
      <c r="N140" s="22" t="s">
        <v>136</v>
      </c>
      <c r="O140" s="22" t="s">
        <v>175</v>
      </c>
      <c r="P140" s="23">
        <v>20</v>
      </c>
      <c r="Q140" s="17">
        <v>2022</v>
      </c>
      <c r="R140" s="23" t="s">
        <v>181</v>
      </c>
    </row>
    <row r="141" spans="1:18" x14ac:dyDescent="0.25">
      <c r="A141" s="5" t="s">
        <v>268</v>
      </c>
      <c r="B141" s="6">
        <v>10112</v>
      </c>
      <c r="C141" s="6" t="s">
        <v>5</v>
      </c>
      <c r="D141" s="6">
        <v>1</v>
      </c>
      <c r="E141" s="6" t="s">
        <v>1</v>
      </c>
      <c r="F141" s="6">
        <v>11</v>
      </c>
      <c r="G141" s="6" t="s">
        <v>6</v>
      </c>
      <c r="H141" s="5" t="s">
        <v>143</v>
      </c>
      <c r="I141" s="7" t="s">
        <v>45</v>
      </c>
      <c r="J141" s="8">
        <v>43346</v>
      </c>
      <c r="K141" s="7"/>
      <c r="L141" s="10">
        <v>1256</v>
      </c>
      <c r="M141" s="49">
        <v>2129.6999999999998</v>
      </c>
      <c r="N141" s="11" t="s">
        <v>2</v>
      </c>
      <c r="O141" s="11" t="s">
        <v>174</v>
      </c>
      <c r="P141" s="12" t="s">
        <v>2</v>
      </c>
      <c r="Q141" s="6">
        <v>2022</v>
      </c>
      <c r="R141" s="12" t="s">
        <v>2</v>
      </c>
    </row>
    <row r="142" spans="1:18" x14ac:dyDescent="0.25">
      <c r="A142" s="5" t="s">
        <v>268</v>
      </c>
      <c r="B142" s="6">
        <v>10112</v>
      </c>
      <c r="C142" s="6" t="s">
        <v>5</v>
      </c>
      <c r="D142" s="6">
        <v>1</v>
      </c>
      <c r="E142" s="6" t="s">
        <v>1</v>
      </c>
      <c r="F142" s="6">
        <v>11</v>
      </c>
      <c r="G142" s="6" t="s">
        <v>6</v>
      </c>
      <c r="H142" s="5" t="s">
        <v>143</v>
      </c>
      <c r="I142" s="14" t="s">
        <v>44</v>
      </c>
      <c r="J142" s="13">
        <v>38171</v>
      </c>
      <c r="K142" s="32"/>
      <c r="L142" s="10">
        <v>1255</v>
      </c>
      <c r="M142" s="49">
        <v>2129.6999999999998</v>
      </c>
      <c r="N142" s="11" t="s">
        <v>136</v>
      </c>
      <c r="O142" s="11" t="s">
        <v>175</v>
      </c>
      <c r="P142" s="12">
        <v>20</v>
      </c>
      <c r="Q142" s="6">
        <v>2022</v>
      </c>
      <c r="R142" s="12" t="s">
        <v>179</v>
      </c>
    </row>
    <row r="143" spans="1:18" x14ac:dyDescent="0.25">
      <c r="A143" s="16" t="s">
        <v>268</v>
      </c>
      <c r="B143" s="17">
        <v>10112</v>
      </c>
      <c r="C143" s="17" t="s">
        <v>5</v>
      </c>
      <c r="D143" s="17">
        <v>1</v>
      </c>
      <c r="E143" s="17" t="s">
        <v>1</v>
      </c>
      <c r="F143" s="17">
        <v>11</v>
      </c>
      <c r="G143" s="17" t="s">
        <v>6</v>
      </c>
      <c r="H143" s="16" t="s">
        <v>143</v>
      </c>
      <c r="I143" s="18" t="s">
        <v>51</v>
      </c>
      <c r="J143" s="19">
        <v>43407</v>
      </c>
      <c r="K143" s="24"/>
      <c r="L143" s="21">
        <v>1262</v>
      </c>
      <c r="M143" s="48">
        <v>2129.6999999999998</v>
      </c>
      <c r="N143" s="22" t="s">
        <v>2</v>
      </c>
      <c r="O143" s="22" t="s">
        <v>175</v>
      </c>
      <c r="P143" s="23" t="s">
        <v>2</v>
      </c>
      <c r="Q143" s="17">
        <v>2022</v>
      </c>
      <c r="R143" s="23" t="s">
        <v>2</v>
      </c>
    </row>
    <row r="144" spans="1:18" x14ac:dyDescent="0.25">
      <c r="A144" s="5" t="s">
        <v>268</v>
      </c>
      <c r="B144" s="6">
        <v>10112</v>
      </c>
      <c r="C144" s="6" t="s">
        <v>5</v>
      </c>
      <c r="D144" s="6">
        <v>1</v>
      </c>
      <c r="E144" s="6" t="s">
        <v>1</v>
      </c>
      <c r="F144" s="6">
        <v>11</v>
      </c>
      <c r="G144" s="6" t="s">
        <v>6</v>
      </c>
      <c r="H144" s="5" t="s">
        <v>143</v>
      </c>
      <c r="I144" s="7" t="s">
        <v>47</v>
      </c>
      <c r="J144" s="13">
        <v>43407</v>
      </c>
      <c r="K144" s="32"/>
      <c r="L144" s="10">
        <v>1258</v>
      </c>
      <c r="M144" s="49">
        <v>1305.51</v>
      </c>
      <c r="N144" s="11" t="s">
        <v>2</v>
      </c>
      <c r="O144" s="11" t="s">
        <v>174</v>
      </c>
      <c r="P144" s="12" t="s">
        <v>2</v>
      </c>
      <c r="Q144" s="6">
        <v>2022</v>
      </c>
      <c r="R144" s="12" t="s">
        <v>2</v>
      </c>
    </row>
    <row r="145" spans="1:18" x14ac:dyDescent="0.25">
      <c r="A145" s="5" t="s">
        <v>268</v>
      </c>
      <c r="B145" s="6">
        <v>10112</v>
      </c>
      <c r="C145" s="6" t="s">
        <v>5</v>
      </c>
      <c r="D145" s="6">
        <v>1</v>
      </c>
      <c r="E145" s="6" t="s">
        <v>1</v>
      </c>
      <c r="F145" s="6">
        <v>11</v>
      </c>
      <c r="G145" s="6" t="s">
        <v>6</v>
      </c>
      <c r="H145" s="5" t="s">
        <v>143</v>
      </c>
      <c r="I145" s="7" t="s">
        <v>56</v>
      </c>
      <c r="J145" s="8">
        <v>42432</v>
      </c>
      <c r="K145" s="13">
        <v>42505</v>
      </c>
      <c r="L145" s="10">
        <v>1267</v>
      </c>
      <c r="M145" s="49">
        <v>1305.74</v>
      </c>
      <c r="N145" s="11" t="s">
        <v>2</v>
      </c>
      <c r="O145" s="11" t="s">
        <v>174</v>
      </c>
      <c r="P145" s="12" t="s">
        <v>2</v>
      </c>
      <c r="Q145" s="6">
        <v>2022</v>
      </c>
      <c r="R145" s="12" t="s">
        <v>2</v>
      </c>
    </row>
    <row r="146" spans="1:18" x14ac:dyDescent="0.25">
      <c r="A146" s="5" t="s">
        <v>268</v>
      </c>
      <c r="B146" s="6">
        <v>10112</v>
      </c>
      <c r="C146" s="6" t="s">
        <v>5</v>
      </c>
      <c r="D146" s="6">
        <v>1</v>
      </c>
      <c r="E146" s="6" t="s">
        <v>1</v>
      </c>
      <c r="F146" s="6">
        <v>11</v>
      </c>
      <c r="G146" s="6" t="s">
        <v>6</v>
      </c>
      <c r="H146" s="5" t="s">
        <v>189</v>
      </c>
      <c r="I146" s="7" t="s">
        <v>37</v>
      </c>
      <c r="J146" s="8">
        <v>42188</v>
      </c>
      <c r="K146" s="32"/>
      <c r="L146" s="10">
        <v>1247</v>
      </c>
      <c r="M146" s="49">
        <v>2129.6999999999998</v>
      </c>
      <c r="N146" s="11" t="s">
        <v>209</v>
      </c>
      <c r="O146" s="11" t="s">
        <v>174</v>
      </c>
      <c r="P146" s="12">
        <v>30</v>
      </c>
      <c r="Q146" s="6">
        <v>2022</v>
      </c>
      <c r="R146" s="12" t="s">
        <v>208</v>
      </c>
    </row>
    <row r="147" spans="1:18" x14ac:dyDescent="0.25">
      <c r="A147" s="16" t="s">
        <v>268</v>
      </c>
      <c r="B147" s="17">
        <v>10112</v>
      </c>
      <c r="C147" s="17" t="s">
        <v>5</v>
      </c>
      <c r="D147" s="17">
        <v>1</v>
      </c>
      <c r="E147" s="17" t="s">
        <v>1</v>
      </c>
      <c r="F147" s="17">
        <v>11</v>
      </c>
      <c r="G147" s="17" t="s">
        <v>6</v>
      </c>
      <c r="H147" s="16" t="s">
        <v>189</v>
      </c>
      <c r="I147" s="18" t="s">
        <v>38</v>
      </c>
      <c r="J147" s="19">
        <v>40453</v>
      </c>
      <c r="K147" s="24"/>
      <c r="L147" s="21">
        <v>1248</v>
      </c>
      <c r="M147" s="48">
        <v>2129.6999999999998</v>
      </c>
      <c r="N147" s="22" t="s">
        <v>209</v>
      </c>
      <c r="O147" s="22" t="s">
        <v>174</v>
      </c>
      <c r="P147" s="23">
        <v>30</v>
      </c>
      <c r="Q147" s="17">
        <v>2022</v>
      </c>
      <c r="R147" s="23" t="s">
        <v>208</v>
      </c>
    </row>
    <row r="148" spans="1:18" x14ac:dyDescent="0.25">
      <c r="A148" s="16" t="s">
        <v>268</v>
      </c>
      <c r="B148" s="17">
        <v>10112</v>
      </c>
      <c r="C148" s="17" t="s">
        <v>5</v>
      </c>
      <c r="D148" s="17">
        <v>1</v>
      </c>
      <c r="E148" s="17" t="s">
        <v>1</v>
      </c>
      <c r="F148" s="17">
        <v>11</v>
      </c>
      <c r="G148" s="17" t="s">
        <v>6</v>
      </c>
      <c r="H148" s="16" t="s">
        <v>189</v>
      </c>
      <c r="I148" s="18" t="s">
        <v>37</v>
      </c>
      <c r="J148" s="19">
        <v>42188</v>
      </c>
      <c r="K148" s="20"/>
      <c r="L148" s="21">
        <v>1247</v>
      </c>
      <c r="M148" s="48">
        <v>2129.6999999999998</v>
      </c>
      <c r="N148" s="22" t="s">
        <v>213</v>
      </c>
      <c r="O148" s="22" t="s">
        <v>174</v>
      </c>
      <c r="P148" s="23">
        <v>30</v>
      </c>
      <c r="Q148" s="17">
        <v>2022</v>
      </c>
      <c r="R148" s="23" t="s">
        <v>212</v>
      </c>
    </row>
    <row r="149" spans="1:18" x14ac:dyDescent="0.25">
      <c r="A149" s="5" t="s">
        <v>268</v>
      </c>
      <c r="B149" s="6">
        <v>10112</v>
      </c>
      <c r="C149" s="6" t="s">
        <v>5</v>
      </c>
      <c r="D149" s="6">
        <v>1</v>
      </c>
      <c r="E149" s="6" t="s">
        <v>1</v>
      </c>
      <c r="F149" s="6">
        <v>11</v>
      </c>
      <c r="G149" s="6" t="s">
        <v>6</v>
      </c>
      <c r="H149" s="5" t="s">
        <v>189</v>
      </c>
      <c r="I149" s="14" t="s">
        <v>38</v>
      </c>
      <c r="J149" s="13">
        <v>40453</v>
      </c>
      <c r="K149" s="7"/>
      <c r="L149" s="10">
        <v>1248</v>
      </c>
      <c r="M149" s="49">
        <v>2129.6999999999998</v>
      </c>
      <c r="N149" s="11" t="s">
        <v>213</v>
      </c>
      <c r="O149" s="11" t="s">
        <v>174</v>
      </c>
      <c r="P149" s="12">
        <v>30</v>
      </c>
      <c r="Q149" s="6">
        <v>2022</v>
      </c>
      <c r="R149" s="12" t="s">
        <v>212</v>
      </c>
    </row>
    <row r="150" spans="1:18" x14ac:dyDescent="0.25">
      <c r="A150" s="16" t="s">
        <v>268</v>
      </c>
      <c r="B150" s="17">
        <v>10112</v>
      </c>
      <c r="C150" s="17" t="s">
        <v>5</v>
      </c>
      <c r="D150" s="17">
        <v>1</v>
      </c>
      <c r="E150" s="17" t="s">
        <v>1</v>
      </c>
      <c r="F150" s="17">
        <v>11</v>
      </c>
      <c r="G150" s="17" t="s">
        <v>6</v>
      </c>
      <c r="H150" s="16" t="s">
        <v>143</v>
      </c>
      <c r="I150" s="18" t="s">
        <v>42</v>
      </c>
      <c r="J150" s="19">
        <v>40971</v>
      </c>
      <c r="K150" s="20">
        <v>44602</v>
      </c>
      <c r="L150" s="21">
        <v>1253</v>
      </c>
      <c r="M150" s="48">
        <v>1716.54</v>
      </c>
      <c r="N150" s="22" t="s">
        <v>136</v>
      </c>
      <c r="O150" s="22" t="s">
        <v>174</v>
      </c>
      <c r="P150" s="23">
        <v>20</v>
      </c>
      <c r="Q150" s="17">
        <v>2022</v>
      </c>
      <c r="R150" s="23" t="s">
        <v>228</v>
      </c>
    </row>
    <row r="151" spans="1:18" x14ac:dyDescent="0.25">
      <c r="A151" s="16" t="s">
        <v>268</v>
      </c>
      <c r="B151" s="17">
        <v>10112</v>
      </c>
      <c r="C151" s="17" t="s">
        <v>5</v>
      </c>
      <c r="D151" s="17">
        <v>1</v>
      </c>
      <c r="E151" s="17" t="s">
        <v>1</v>
      </c>
      <c r="F151" s="17">
        <v>11</v>
      </c>
      <c r="G151" s="17" t="s">
        <v>6</v>
      </c>
      <c r="H151" s="16" t="s">
        <v>143</v>
      </c>
      <c r="I151" s="18" t="s">
        <v>43</v>
      </c>
      <c r="J151" s="19">
        <v>38901</v>
      </c>
      <c r="K151" s="24"/>
      <c r="L151" s="21">
        <v>1254</v>
      </c>
      <c r="M151" s="48">
        <v>1716.54</v>
      </c>
      <c r="N151" s="22" t="s">
        <v>136</v>
      </c>
      <c r="O151" s="22" t="s">
        <v>174</v>
      </c>
      <c r="P151" s="23">
        <v>20</v>
      </c>
      <c r="Q151" s="17">
        <v>2022</v>
      </c>
      <c r="R151" s="23" t="s">
        <v>230</v>
      </c>
    </row>
    <row r="152" spans="1:18" x14ac:dyDescent="0.25">
      <c r="A152" s="5" t="s">
        <v>268</v>
      </c>
      <c r="B152" s="6">
        <v>10112</v>
      </c>
      <c r="C152" s="6" t="s">
        <v>5</v>
      </c>
      <c r="D152" s="6">
        <v>1</v>
      </c>
      <c r="E152" s="6" t="s">
        <v>1</v>
      </c>
      <c r="F152" s="6">
        <v>11</v>
      </c>
      <c r="G152" s="6" t="s">
        <v>6</v>
      </c>
      <c r="H152" s="5" t="s">
        <v>143</v>
      </c>
      <c r="I152" s="7" t="s">
        <v>62</v>
      </c>
      <c r="J152" s="8">
        <v>41641</v>
      </c>
      <c r="K152" s="32"/>
      <c r="L152" s="10">
        <v>1273</v>
      </c>
      <c r="M152" s="49">
        <v>1352.09</v>
      </c>
      <c r="N152" s="11" t="s">
        <v>136</v>
      </c>
      <c r="O152" s="11" t="s">
        <v>175</v>
      </c>
      <c r="P152" s="12">
        <v>20</v>
      </c>
      <c r="Q152" s="6">
        <v>2022</v>
      </c>
      <c r="R152" s="12" t="s">
        <v>231</v>
      </c>
    </row>
    <row r="153" spans="1:18" x14ac:dyDescent="0.25">
      <c r="A153" s="16" t="s">
        <v>268</v>
      </c>
      <c r="B153" s="17">
        <v>10112</v>
      </c>
      <c r="C153" s="17" t="s">
        <v>5</v>
      </c>
      <c r="D153" s="17">
        <v>1</v>
      </c>
      <c r="E153" s="17" t="s">
        <v>1</v>
      </c>
      <c r="F153" s="17">
        <v>11</v>
      </c>
      <c r="G153" s="17" t="s">
        <v>6</v>
      </c>
      <c r="H153" s="16" t="s">
        <v>189</v>
      </c>
      <c r="I153" s="18" t="s">
        <v>25</v>
      </c>
      <c r="J153" s="19">
        <v>44319</v>
      </c>
      <c r="K153" s="24">
        <v>44805</v>
      </c>
      <c r="L153" s="21">
        <v>1234</v>
      </c>
      <c r="M153" s="48">
        <v>1716.54</v>
      </c>
      <c r="N153" s="22" t="s">
        <v>258</v>
      </c>
      <c r="O153" s="22" t="s">
        <v>175</v>
      </c>
      <c r="P153" s="23">
        <v>60</v>
      </c>
      <c r="Q153" s="17">
        <v>2023</v>
      </c>
      <c r="R153" s="23" t="s">
        <v>179</v>
      </c>
    </row>
    <row r="154" spans="1:18" x14ac:dyDescent="0.25">
      <c r="A154" s="5" t="s">
        <v>268</v>
      </c>
      <c r="B154" s="6">
        <v>10112</v>
      </c>
      <c r="C154" s="6" t="s">
        <v>5</v>
      </c>
      <c r="D154" s="6">
        <v>1</v>
      </c>
      <c r="E154" s="6" t="s">
        <v>1</v>
      </c>
      <c r="F154" s="6">
        <v>11</v>
      </c>
      <c r="G154" s="6" t="s">
        <v>6</v>
      </c>
      <c r="H154" s="5" t="s">
        <v>189</v>
      </c>
      <c r="I154" s="7" t="s">
        <v>26</v>
      </c>
      <c r="J154" s="8">
        <v>44319</v>
      </c>
      <c r="K154" s="32"/>
      <c r="L154" s="10">
        <v>1235</v>
      </c>
      <c r="M154" s="49">
        <v>1716.54</v>
      </c>
      <c r="N154" s="11" t="s">
        <v>258</v>
      </c>
      <c r="O154" s="11" t="s">
        <v>175</v>
      </c>
      <c r="P154" s="12">
        <v>60</v>
      </c>
      <c r="Q154" s="6">
        <v>2023</v>
      </c>
      <c r="R154" s="12" t="s">
        <v>179</v>
      </c>
    </row>
    <row r="155" spans="1:18" x14ac:dyDescent="0.25">
      <c r="A155" s="16" t="s">
        <v>268</v>
      </c>
      <c r="B155" s="17">
        <v>10112</v>
      </c>
      <c r="C155" s="17" t="s">
        <v>5</v>
      </c>
      <c r="D155" s="17">
        <v>1</v>
      </c>
      <c r="E155" s="17" t="s">
        <v>1</v>
      </c>
      <c r="F155" s="17">
        <v>11</v>
      </c>
      <c r="G155" s="17" t="s">
        <v>6</v>
      </c>
      <c r="H155" s="16" t="s">
        <v>189</v>
      </c>
      <c r="I155" s="18" t="s">
        <v>27</v>
      </c>
      <c r="J155" s="19">
        <v>43223</v>
      </c>
      <c r="K155" s="24"/>
      <c r="L155" s="21">
        <v>1236</v>
      </c>
      <c r="M155" s="48">
        <v>1716.54</v>
      </c>
      <c r="N155" s="22" t="s">
        <v>258</v>
      </c>
      <c r="O155" s="22" t="s">
        <v>174</v>
      </c>
      <c r="P155" s="23">
        <v>60</v>
      </c>
      <c r="Q155" s="17">
        <v>2023</v>
      </c>
      <c r="R155" s="23" t="s">
        <v>179</v>
      </c>
    </row>
    <row r="156" spans="1:18" x14ac:dyDescent="0.25">
      <c r="A156" s="5" t="s">
        <v>268</v>
      </c>
      <c r="B156" s="6">
        <v>10112</v>
      </c>
      <c r="C156" s="6" t="s">
        <v>5</v>
      </c>
      <c r="D156" s="6">
        <v>1</v>
      </c>
      <c r="E156" s="6" t="s">
        <v>1</v>
      </c>
      <c r="F156" s="6">
        <v>11</v>
      </c>
      <c r="G156" s="6" t="s">
        <v>6</v>
      </c>
      <c r="H156" s="5" t="s">
        <v>189</v>
      </c>
      <c r="I156" s="7" t="s">
        <v>29</v>
      </c>
      <c r="J156" s="8">
        <v>42403</v>
      </c>
      <c r="K156" s="62">
        <v>44835</v>
      </c>
      <c r="L156" s="10">
        <v>1238</v>
      </c>
      <c r="M156" s="49">
        <v>2174.54</v>
      </c>
      <c r="N156" s="11" t="s">
        <v>258</v>
      </c>
      <c r="O156" s="11" t="s">
        <v>175</v>
      </c>
      <c r="P156" s="12">
        <v>60</v>
      </c>
      <c r="Q156" s="6">
        <v>2023</v>
      </c>
      <c r="R156" s="12" t="s">
        <v>179</v>
      </c>
    </row>
    <row r="157" spans="1:18" x14ac:dyDescent="0.25">
      <c r="A157" s="16" t="s">
        <v>268</v>
      </c>
      <c r="B157" s="17">
        <v>10112</v>
      </c>
      <c r="C157" s="17" t="s">
        <v>5</v>
      </c>
      <c r="D157" s="17">
        <v>1</v>
      </c>
      <c r="E157" s="17" t="s">
        <v>1</v>
      </c>
      <c r="F157" s="17">
        <v>11</v>
      </c>
      <c r="G157" s="17" t="s">
        <v>6</v>
      </c>
      <c r="H157" s="16" t="s">
        <v>191</v>
      </c>
      <c r="I157" s="18" t="s">
        <v>32</v>
      </c>
      <c r="J157" s="19">
        <v>42110</v>
      </c>
      <c r="K157" s="24"/>
      <c r="L157" s="21">
        <v>1241</v>
      </c>
      <c r="M157" s="48">
        <v>1892.11</v>
      </c>
      <c r="N157" s="22" t="s">
        <v>258</v>
      </c>
      <c r="O157" s="22" t="s">
        <v>175</v>
      </c>
      <c r="P157" s="23">
        <v>60</v>
      </c>
      <c r="Q157" s="17">
        <v>2023</v>
      </c>
      <c r="R157" s="23" t="s">
        <v>179</v>
      </c>
    </row>
    <row r="158" spans="1:18" x14ac:dyDescent="0.25">
      <c r="A158" s="5" t="s">
        <v>268</v>
      </c>
      <c r="B158" s="6">
        <v>10112</v>
      </c>
      <c r="C158" s="6" t="s">
        <v>5</v>
      </c>
      <c r="D158" s="6">
        <v>1</v>
      </c>
      <c r="E158" s="6" t="s">
        <v>1</v>
      </c>
      <c r="F158" s="6">
        <v>11</v>
      </c>
      <c r="G158" s="6" t="s">
        <v>6</v>
      </c>
      <c r="H158" s="5" t="s">
        <v>189</v>
      </c>
      <c r="I158" s="7" t="s">
        <v>28</v>
      </c>
      <c r="J158" s="8">
        <v>41581</v>
      </c>
      <c r="K158" s="32"/>
      <c r="L158" s="10">
        <v>1237</v>
      </c>
      <c r="M158" s="49">
        <v>1305.51</v>
      </c>
      <c r="N158" s="11" t="s">
        <v>258</v>
      </c>
      <c r="O158" s="11" t="s">
        <v>175</v>
      </c>
      <c r="P158" s="12">
        <v>60</v>
      </c>
      <c r="Q158" s="6">
        <v>2023</v>
      </c>
      <c r="R158" s="12" t="s">
        <v>179</v>
      </c>
    </row>
    <row r="159" spans="1:18" x14ac:dyDescent="0.25">
      <c r="A159" s="16" t="s">
        <v>268</v>
      </c>
      <c r="B159" s="17">
        <v>10112</v>
      </c>
      <c r="C159" s="17" t="s">
        <v>5</v>
      </c>
      <c r="D159" s="17">
        <v>1</v>
      </c>
      <c r="E159" s="17" t="s">
        <v>1</v>
      </c>
      <c r="F159" s="17">
        <v>11</v>
      </c>
      <c r="G159" s="17" t="s">
        <v>6</v>
      </c>
      <c r="H159" s="16" t="s">
        <v>195</v>
      </c>
      <c r="I159" s="18" t="s">
        <v>34</v>
      </c>
      <c r="J159" s="19">
        <v>44107</v>
      </c>
      <c r="K159" s="24"/>
      <c r="L159" s="21">
        <v>1244</v>
      </c>
      <c r="M159" s="48">
        <v>1473.39</v>
      </c>
      <c r="N159" s="22" t="s">
        <v>258</v>
      </c>
      <c r="O159" s="22" t="s">
        <v>174</v>
      </c>
      <c r="P159" s="23">
        <v>60</v>
      </c>
      <c r="Q159" s="17">
        <v>2023</v>
      </c>
      <c r="R159" s="23" t="s">
        <v>179</v>
      </c>
    </row>
    <row r="160" spans="1:18" x14ac:dyDescent="0.25">
      <c r="A160" s="5" t="s">
        <v>268</v>
      </c>
      <c r="B160" s="6">
        <v>10112</v>
      </c>
      <c r="C160" s="6" t="s">
        <v>5</v>
      </c>
      <c r="D160" s="6">
        <v>1</v>
      </c>
      <c r="E160" s="6" t="s">
        <v>1</v>
      </c>
      <c r="F160" s="6">
        <v>11</v>
      </c>
      <c r="G160" s="6" t="s">
        <v>6</v>
      </c>
      <c r="H160" s="5" t="s">
        <v>195</v>
      </c>
      <c r="I160" s="7" t="s">
        <v>35</v>
      </c>
      <c r="J160" s="8">
        <v>43254</v>
      </c>
      <c r="K160" s="32"/>
      <c r="L160" s="10">
        <v>1245</v>
      </c>
      <c r="M160" s="49">
        <v>2129.6999999999998</v>
      </c>
      <c r="N160" s="11" t="s">
        <v>258</v>
      </c>
      <c r="O160" s="11" t="s">
        <v>175</v>
      </c>
      <c r="P160" s="12">
        <v>60</v>
      </c>
      <c r="Q160" s="6">
        <v>2023</v>
      </c>
      <c r="R160" s="12" t="s">
        <v>179</v>
      </c>
    </row>
    <row r="161" spans="1:18" x14ac:dyDescent="0.25">
      <c r="A161" s="16" t="s">
        <v>268</v>
      </c>
      <c r="B161" s="17">
        <v>10112</v>
      </c>
      <c r="C161" s="17" t="s">
        <v>5</v>
      </c>
      <c r="D161" s="17">
        <v>1</v>
      </c>
      <c r="E161" s="17" t="s">
        <v>1</v>
      </c>
      <c r="F161" s="17">
        <v>11</v>
      </c>
      <c r="G161" s="17" t="s">
        <v>6</v>
      </c>
      <c r="H161" s="16" t="s">
        <v>195</v>
      </c>
      <c r="I161" s="18" t="s">
        <v>36</v>
      </c>
      <c r="J161" s="19">
        <v>41308</v>
      </c>
      <c r="K161" s="24"/>
      <c r="L161" s="21">
        <v>1246</v>
      </c>
      <c r="M161" s="48">
        <v>1134.43</v>
      </c>
      <c r="N161" s="22" t="s">
        <v>258</v>
      </c>
      <c r="O161" s="22" t="s">
        <v>175</v>
      </c>
      <c r="P161" s="23">
        <v>60</v>
      </c>
      <c r="Q161" s="17">
        <v>2023</v>
      </c>
      <c r="R161" s="23" t="s">
        <v>179</v>
      </c>
    </row>
    <row r="162" spans="1:18" x14ac:dyDescent="0.25">
      <c r="A162" s="5" t="s">
        <v>268</v>
      </c>
      <c r="B162" s="6">
        <v>10112</v>
      </c>
      <c r="C162" s="6" t="s">
        <v>5</v>
      </c>
      <c r="D162" s="6">
        <v>1</v>
      </c>
      <c r="E162" s="6" t="s">
        <v>1</v>
      </c>
      <c r="F162" s="6">
        <v>11</v>
      </c>
      <c r="G162" s="6" t="s">
        <v>6</v>
      </c>
      <c r="H162" s="5" t="s">
        <v>189</v>
      </c>
      <c r="I162" s="5" t="s">
        <v>37</v>
      </c>
      <c r="J162" s="8">
        <v>42188</v>
      </c>
      <c r="K162" s="62">
        <v>44835</v>
      </c>
      <c r="L162" s="10">
        <v>1247</v>
      </c>
      <c r="M162" s="49">
        <v>2129.6999999999998</v>
      </c>
      <c r="N162" s="11" t="s">
        <v>258</v>
      </c>
      <c r="O162" s="11" t="s">
        <v>175</v>
      </c>
      <c r="P162" s="12">
        <v>60</v>
      </c>
      <c r="Q162" s="6">
        <v>2023</v>
      </c>
      <c r="R162" s="12" t="s">
        <v>179</v>
      </c>
    </row>
    <row r="163" spans="1:18" x14ac:dyDescent="0.25">
      <c r="A163" s="16" t="s">
        <v>268</v>
      </c>
      <c r="B163" s="17">
        <v>10112</v>
      </c>
      <c r="C163" s="17" t="s">
        <v>5</v>
      </c>
      <c r="D163" s="17">
        <v>1</v>
      </c>
      <c r="E163" s="17" t="s">
        <v>1</v>
      </c>
      <c r="F163" s="17">
        <v>11</v>
      </c>
      <c r="G163" s="17" t="s">
        <v>6</v>
      </c>
      <c r="H163" s="16" t="s">
        <v>195</v>
      </c>
      <c r="I163" s="18" t="s">
        <v>61</v>
      </c>
      <c r="J163" s="19">
        <v>42585</v>
      </c>
      <c r="K163" s="24"/>
      <c r="L163" s="21">
        <v>1272</v>
      </c>
      <c r="M163" s="48">
        <v>2129.6999999999998</v>
      </c>
      <c r="N163" s="22" t="s">
        <v>258</v>
      </c>
      <c r="O163" s="22" t="s">
        <v>175</v>
      </c>
      <c r="P163" s="23">
        <v>60</v>
      </c>
      <c r="Q163" s="17">
        <v>2023</v>
      </c>
      <c r="R163" s="23" t="s">
        <v>179</v>
      </c>
    </row>
    <row r="164" spans="1:18" x14ac:dyDescent="0.25">
      <c r="A164" s="5" t="s">
        <v>268</v>
      </c>
      <c r="B164" s="6">
        <v>10112</v>
      </c>
      <c r="C164" s="6" t="s">
        <v>5</v>
      </c>
      <c r="D164" s="6">
        <v>1</v>
      </c>
      <c r="E164" s="6" t="s">
        <v>1</v>
      </c>
      <c r="F164" s="6">
        <v>11</v>
      </c>
      <c r="G164" s="6" t="s">
        <v>6</v>
      </c>
      <c r="H164" s="5" t="s">
        <v>143</v>
      </c>
      <c r="I164" s="14" t="s">
        <v>62</v>
      </c>
      <c r="J164" s="13">
        <v>41641</v>
      </c>
      <c r="K164" s="32"/>
      <c r="L164" s="10">
        <v>1273</v>
      </c>
      <c r="M164" s="49">
        <v>1352.09</v>
      </c>
      <c r="N164" s="11" t="s">
        <v>258</v>
      </c>
      <c r="O164" s="11" t="s">
        <v>175</v>
      </c>
      <c r="P164" s="12">
        <v>60</v>
      </c>
      <c r="Q164" s="6">
        <v>2023</v>
      </c>
      <c r="R164" s="12" t="s">
        <v>179</v>
      </c>
    </row>
    <row r="165" spans="1:18" x14ac:dyDescent="0.25">
      <c r="A165" s="16" t="s">
        <v>268</v>
      </c>
      <c r="B165" s="17">
        <v>10112</v>
      </c>
      <c r="C165" s="17" t="s">
        <v>5</v>
      </c>
      <c r="D165" s="17">
        <v>1</v>
      </c>
      <c r="E165" s="17" t="s">
        <v>1</v>
      </c>
      <c r="F165" s="17">
        <v>11</v>
      </c>
      <c r="G165" s="17" t="s">
        <v>6</v>
      </c>
      <c r="H165" s="16" t="s">
        <v>195</v>
      </c>
      <c r="I165" s="18" t="s">
        <v>63</v>
      </c>
      <c r="J165" s="19">
        <v>39694</v>
      </c>
      <c r="K165" s="24"/>
      <c r="L165" s="21">
        <v>1274</v>
      </c>
      <c r="M165" s="48">
        <v>2129.6999999999998</v>
      </c>
      <c r="N165" s="22" t="s">
        <v>258</v>
      </c>
      <c r="O165" s="22" t="s">
        <v>175</v>
      </c>
      <c r="P165" s="23">
        <v>60</v>
      </c>
      <c r="Q165" s="17">
        <v>2023</v>
      </c>
      <c r="R165" s="23" t="s">
        <v>179</v>
      </c>
    </row>
    <row r="166" spans="1:18" x14ac:dyDescent="0.25">
      <c r="A166" s="5" t="s">
        <v>268</v>
      </c>
      <c r="B166" s="6">
        <v>10112</v>
      </c>
      <c r="C166" s="6" t="s">
        <v>5</v>
      </c>
      <c r="D166" s="6">
        <v>1</v>
      </c>
      <c r="E166" s="6" t="s">
        <v>1</v>
      </c>
      <c r="F166" s="6">
        <v>11</v>
      </c>
      <c r="G166" s="6" t="s">
        <v>6</v>
      </c>
      <c r="H166" s="5" t="s">
        <v>189</v>
      </c>
      <c r="I166" s="7" t="s">
        <v>38</v>
      </c>
      <c r="J166" s="8">
        <v>40453</v>
      </c>
      <c r="K166" s="32"/>
      <c r="L166" s="10">
        <v>1248</v>
      </c>
      <c r="M166" s="49">
        <v>2129.6999999999998</v>
      </c>
      <c r="N166" s="11" t="s">
        <v>258</v>
      </c>
      <c r="O166" s="11" t="s">
        <v>175</v>
      </c>
      <c r="P166" s="12">
        <v>60</v>
      </c>
      <c r="Q166" s="6">
        <v>2023</v>
      </c>
      <c r="R166" s="12" t="s">
        <v>179</v>
      </c>
    </row>
  </sheetData>
  <phoneticPr fontId="8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Dados - Orçamento</vt:lpstr>
      <vt:lpstr>Dados - Mercado</vt:lpstr>
      <vt:lpstr>Dados - RH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2026-02-26T13:41:42Z</dcterms:modified>
</cp:coreProperties>
</file>